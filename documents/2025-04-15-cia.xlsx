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EFANATK\Desktop\The Dumping Ground\"/>
    </mc:Choice>
  </mc:AlternateContent>
  <bookViews>
    <workbookView xWindow="0" yWindow="0" windowWidth="23040" windowHeight="10860" tabRatio="830" autoFilterDateGrouping="0"/>
  </bookViews>
  <sheets>
    <sheet name="INTRO" sheetId="19" r:id="rId1"/>
    <sheet name="Details" sheetId="13" r:id="rId2"/>
    <sheet name="CIA-Screening" sheetId="23" r:id="rId3"/>
    <sheet name="CIA-Environment" sheetId="9" r:id="rId4"/>
    <sheet name="CIA-Social" sheetId="10" r:id="rId5"/>
    <sheet name="Env Wheel" sheetId="15" state="hidden" r:id="rId6"/>
    <sheet name="Social Wheel" sheetId="16" state="hidden" r:id="rId7"/>
    <sheet name="FORMULAS" sheetId="22" state="hidden" r:id="rId8"/>
    <sheet name="Dashboard" sheetId="17" state="hidden" r:id="rId9"/>
    <sheet name="Summary Report" sheetId="14" r:id="rId10"/>
    <sheet name="Guidance" sheetId="26" r:id="rId11"/>
    <sheet name="Drop downs" sheetId="4" state="hidden" r:id="rId12"/>
  </sheets>
  <externalReferences>
    <externalReference r:id="rId13"/>
  </externalReferences>
  <definedNames>
    <definedName name="_xlnm.Print_Area" localSheetId="3">'CIA-Environment'!$A$1:$M$199</definedName>
    <definedName name="_xlnm.Print_Area" localSheetId="4">'CIA-Social'!$A$1:$M$190</definedName>
    <definedName name="_xlnm.Print_Area" localSheetId="9">'Summary Report'!$A$1:$J$44</definedName>
    <definedName name="riskTypes">[1]Validation!$G$13:$G$16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4" l="1"/>
  <c r="E26" i="14"/>
  <c r="L171" i="9" l="1"/>
  <c r="D8" i="14" l="1"/>
  <c r="E22" i="14"/>
  <c r="L35" i="9"/>
  <c r="B6" i="22" l="1"/>
  <c r="B7" i="22"/>
  <c r="B8" i="22"/>
  <c r="B25" i="22" l="1"/>
  <c r="B24" i="22"/>
  <c r="B23" i="22"/>
  <c r="B22" i="22"/>
  <c r="B21" i="22"/>
  <c r="B20" i="22"/>
  <c r="B19" i="22"/>
  <c r="B18" i="22"/>
  <c r="C19" i="22" l="1"/>
  <c r="C26" i="22" s="1"/>
  <c r="C25" i="22"/>
  <c r="C21" i="22"/>
  <c r="C23" i="22"/>
  <c r="E16" i="14"/>
  <c r="G44" i="14" l="1"/>
  <c r="B4" i="22"/>
  <c r="B5" i="22"/>
  <c r="B3" i="22"/>
  <c r="E5" i="22" l="1"/>
  <c r="D5" i="22"/>
  <c r="D3" i="22"/>
  <c r="L197" i="9" l="1"/>
  <c r="C15" i="14" l="1"/>
  <c r="D14" i="23"/>
  <c r="G36" i="17"/>
  <c r="G35" i="17"/>
  <c r="D23" i="23" l="1"/>
  <c r="L120" i="9"/>
  <c r="D12" i="14" l="1"/>
  <c r="D11" i="14"/>
  <c r="D10" i="14"/>
  <c r="D9" i="14"/>
  <c r="D7" i="14"/>
  <c r="D6" i="14"/>
  <c r="D5" i="14"/>
  <c r="L179" i="10" l="1"/>
  <c r="L162" i="10"/>
  <c r="L145" i="10"/>
  <c r="L128" i="10"/>
  <c r="L111" i="10"/>
  <c r="L94" i="10"/>
  <c r="L77" i="10"/>
  <c r="L60" i="10"/>
  <c r="L43" i="10"/>
  <c r="L26" i="10"/>
  <c r="L9" i="10"/>
  <c r="L52" i="9"/>
  <c r="L69" i="9"/>
  <c r="L86" i="9"/>
  <c r="L103" i="9"/>
  <c r="L137" i="9"/>
  <c r="L143" i="9" s="1"/>
  <c r="L154" i="9"/>
  <c r="L188" i="9"/>
  <c r="L191" i="9" l="1"/>
  <c r="L194" i="9"/>
  <c r="L160" i="9"/>
  <c r="L157" i="9"/>
  <c r="L140" i="9"/>
  <c r="L75" i="9"/>
  <c r="L72" i="9"/>
  <c r="L58" i="9"/>
  <c r="L55" i="9"/>
  <c r="L41" i="9"/>
  <c r="L38" i="9"/>
  <c r="L195" i="9" l="1"/>
  <c r="L76" i="9"/>
  <c r="L59" i="9"/>
  <c r="L161" i="9"/>
  <c r="L42" i="9"/>
  <c r="W5" i="10"/>
  <c r="L177" i="9" l="1"/>
  <c r="L117" i="10" l="1"/>
  <c r="L174" i="9"/>
  <c r="L178" i="9" s="1"/>
  <c r="L123" i="9"/>
  <c r="E43" i="14"/>
  <c r="E42" i="14"/>
  <c r="E41" i="14"/>
  <c r="E40" i="14"/>
  <c r="E39" i="14"/>
  <c r="E38" i="14"/>
  <c r="E37" i="14"/>
  <c r="E36" i="14"/>
  <c r="E35" i="14"/>
  <c r="E34" i="14"/>
  <c r="E33" i="14"/>
  <c r="E30" i="14"/>
  <c r="E31" i="14"/>
  <c r="E29" i="14"/>
  <c r="E28" i="14"/>
  <c r="E27" i="14"/>
  <c r="E24" i="14"/>
  <c r="E23" i="14"/>
  <c r="L185" i="10"/>
  <c r="L182" i="10"/>
  <c r="L168" i="10"/>
  <c r="L165" i="10"/>
  <c r="L151" i="10"/>
  <c r="L148" i="10"/>
  <c r="L134" i="10"/>
  <c r="L131" i="10"/>
  <c r="L120" i="10"/>
  <c r="L114" i="10"/>
  <c r="L100" i="10"/>
  <c r="L97" i="10"/>
  <c r="L83" i="10"/>
  <c r="L80" i="10"/>
  <c r="L63" i="10"/>
  <c r="L66" i="10"/>
  <c r="L12" i="10"/>
  <c r="L180" i="9"/>
  <c r="L144" i="9"/>
  <c r="L163" i="9"/>
  <c r="L146" i="9"/>
  <c r="L129" i="9"/>
  <c r="L112" i="9"/>
  <c r="L95" i="9"/>
  <c r="L78" i="9"/>
  <c r="L61" i="9"/>
  <c r="L44" i="9"/>
  <c r="L101" i="10" l="1"/>
  <c r="L186" i="10"/>
  <c r="L169" i="10"/>
  <c r="L152" i="10"/>
  <c r="L67" i="10"/>
  <c r="L84" i="10"/>
  <c r="L118" i="10"/>
  <c r="L135" i="10"/>
  <c r="L109" i="9"/>
  <c r="L106" i="9"/>
  <c r="L92" i="9"/>
  <c r="L89" i="9"/>
  <c r="L126" i="9"/>
  <c r="L127" i="9" s="1"/>
  <c r="L49" i="10"/>
  <c r="L46" i="10"/>
  <c r="L32" i="10"/>
  <c r="L29" i="10"/>
  <c r="L15" i="10"/>
  <c r="L16" i="10" s="1"/>
  <c r="L188" i="10"/>
  <c r="L171" i="10"/>
  <c r="L154" i="10"/>
  <c r="L137" i="10"/>
  <c r="L103" i="10"/>
  <c r="L86" i="10"/>
  <c r="L69" i="10"/>
  <c r="L52" i="10"/>
  <c r="L35" i="10"/>
  <c r="L18" i="10"/>
  <c r="L33" i="10" l="1"/>
  <c r="L93" i="9"/>
  <c r="L110" i="9"/>
  <c r="L50" i="10"/>
  <c r="I7" i="16"/>
  <c r="I8" i="16"/>
  <c r="I9" i="16"/>
  <c r="I10" i="16"/>
  <c r="I11" i="16"/>
  <c r="I13" i="16"/>
  <c r="I5" i="15"/>
  <c r="C24" i="14" s="1"/>
  <c r="D24" i="14" s="1"/>
  <c r="I8" i="15"/>
  <c r="C27" i="14" s="1"/>
  <c r="D27" i="14" s="1"/>
  <c r="I9" i="15"/>
  <c r="C28" i="14" s="1"/>
  <c r="D28" i="14" s="1"/>
  <c r="I10" i="15"/>
  <c r="C29" i="14" s="1"/>
  <c r="D29" i="14" s="1"/>
  <c r="I12" i="15"/>
  <c r="C31" i="14" s="1"/>
  <c r="D31" i="14" s="1"/>
  <c r="I11" i="15"/>
  <c r="C30" i="14" s="1"/>
  <c r="D30" i="14" s="1"/>
  <c r="C40" i="14" l="1"/>
  <c r="D40" i="14" s="1"/>
  <c r="C38" i="14"/>
  <c r="D38" i="14" s="1"/>
  <c r="C41" i="14"/>
  <c r="D41" i="14" s="1"/>
  <c r="C39" i="14"/>
  <c r="D39" i="14" s="1"/>
  <c r="C37" i="14"/>
  <c r="D37" i="14" s="1"/>
  <c r="C43" i="14"/>
  <c r="D43" i="14" s="1"/>
  <c r="J13" i="16"/>
  <c r="B62" i="16" s="1"/>
  <c r="O13" i="16"/>
  <c r="B67" i="16" s="1"/>
  <c r="O11" i="16"/>
  <c r="B55" i="16" s="1"/>
  <c r="J11" i="16"/>
  <c r="B50" i="16" s="1"/>
  <c r="J10" i="16"/>
  <c r="B44" i="16" s="1"/>
  <c r="O10" i="16"/>
  <c r="B49" i="16" s="1"/>
  <c r="J9" i="16"/>
  <c r="B38" i="16" s="1"/>
  <c r="O9" i="16"/>
  <c r="B43" i="16" s="1"/>
  <c r="O8" i="16"/>
  <c r="B37" i="16" s="1"/>
  <c r="J8" i="16"/>
  <c r="B32" i="16" s="1"/>
  <c r="J7" i="16"/>
  <c r="B26" i="16" s="1"/>
  <c r="O7" i="16"/>
  <c r="B31" i="16" s="1"/>
  <c r="O10" i="15"/>
  <c r="B49" i="15" s="1"/>
  <c r="J10" i="15"/>
  <c r="B44" i="15" s="1"/>
  <c r="O5" i="15"/>
  <c r="B19" i="15" s="1"/>
  <c r="J5" i="15"/>
  <c r="B14" i="15" s="1"/>
  <c r="O12" i="15"/>
  <c r="B61" i="15" s="1"/>
  <c r="J12" i="15"/>
  <c r="B56" i="15" s="1"/>
  <c r="J9" i="15"/>
  <c r="B38" i="15" s="1"/>
  <c r="O9" i="15"/>
  <c r="B43" i="15" s="1"/>
  <c r="O11" i="15"/>
  <c r="B55" i="15" s="1"/>
  <c r="J11" i="15"/>
  <c r="B50" i="15" s="1"/>
  <c r="J8" i="15"/>
  <c r="B32" i="15" s="1"/>
  <c r="O8" i="15"/>
  <c r="B37" i="15" s="1"/>
  <c r="I6" i="15"/>
  <c r="C25" i="14" s="1"/>
  <c r="D25" i="14" s="1"/>
  <c r="I7" i="15"/>
  <c r="C26" i="14" s="1"/>
  <c r="D26" i="14" s="1"/>
  <c r="I5" i="16"/>
  <c r="I6" i="16"/>
  <c r="L7" i="16"/>
  <c r="B28" i="16" s="1"/>
  <c r="K7" i="16"/>
  <c r="B27" i="16" s="1"/>
  <c r="M7" i="16"/>
  <c r="B29" i="16" s="1"/>
  <c r="N7" i="16"/>
  <c r="B30" i="16" s="1"/>
  <c r="L8" i="16"/>
  <c r="B34" i="16" s="1"/>
  <c r="N8" i="16"/>
  <c r="B36" i="16" s="1"/>
  <c r="M8" i="16"/>
  <c r="B35" i="16" s="1"/>
  <c r="K8" i="16"/>
  <c r="B33" i="16" s="1"/>
  <c r="M9" i="16"/>
  <c r="B41" i="16" s="1"/>
  <c r="N9" i="16"/>
  <c r="B42" i="16" s="1"/>
  <c r="L9" i="16"/>
  <c r="B40" i="16" s="1"/>
  <c r="K9" i="16"/>
  <c r="B39" i="16" s="1"/>
  <c r="N10" i="16"/>
  <c r="B48" i="16" s="1"/>
  <c r="K10" i="16"/>
  <c r="B45" i="16" s="1"/>
  <c r="L10" i="16"/>
  <c r="B46" i="16" s="1"/>
  <c r="M10" i="16"/>
  <c r="B47" i="16" s="1"/>
  <c r="L11" i="16"/>
  <c r="B52" i="16" s="1"/>
  <c r="N11" i="16"/>
  <c r="B54" i="16" s="1"/>
  <c r="M11" i="16"/>
  <c r="B53" i="16" s="1"/>
  <c r="K11" i="16"/>
  <c r="B51" i="16" s="1"/>
  <c r="I12" i="16"/>
  <c r="L13" i="16"/>
  <c r="B64" i="16" s="1"/>
  <c r="M13" i="16"/>
  <c r="B65" i="16" s="1"/>
  <c r="N13" i="16"/>
  <c r="B66" i="16" s="1"/>
  <c r="K13" i="16"/>
  <c r="B63" i="16" s="1"/>
  <c r="L5" i="15"/>
  <c r="B16" i="15" s="1"/>
  <c r="M5" i="15"/>
  <c r="B17" i="15" s="1"/>
  <c r="N5" i="15"/>
  <c r="B18" i="15" s="1"/>
  <c r="K5" i="15"/>
  <c r="B15" i="15" s="1"/>
  <c r="K8" i="15"/>
  <c r="B33" i="15" s="1"/>
  <c r="M8" i="15"/>
  <c r="B35" i="15" s="1"/>
  <c r="L8" i="15"/>
  <c r="B34" i="15" s="1"/>
  <c r="N8" i="15"/>
  <c r="B36" i="15" s="1"/>
  <c r="K9" i="15"/>
  <c r="B39" i="15" s="1"/>
  <c r="N9" i="15"/>
  <c r="B42" i="15" s="1"/>
  <c r="L9" i="15"/>
  <c r="B40" i="15" s="1"/>
  <c r="M9" i="15"/>
  <c r="B41" i="15" s="1"/>
  <c r="M10" i="15"/>
  <c r="B47" i="15" s="1"/>
  <c r="L10" i="15"/>
  <c r="B46" i="15" s="1"/>
  <c r="K10" i="15"/>
  <c r="B45" i="15" s="1"/>
  <c r="N10" i="15"/>
  <c r="B48" i="15" s="1"/>
  <c r="M12" i="15"/>
  <c r="B59" i="15" s="1"/>
  <c r="K12" i="15"/>
  <c r="B57" i="15" s="1"/>
  <c r="L12" i="15"/>
  <c r="B58" i="15" s="1"/>
  <c r="N12" i="15"/>
  <c r="B60" i="15" s="1"/>
  <c r="M11" i="15"/>
  <c r="B53" i="15" s="1"/>
  <c r="N11" i="15"/>
  <c r="B54" i="15" s="1"/>
  <c r="K11" i="15"/>
  <c r="B51" i="15" s="1"/>
  <c r="L11" i="15"/>
  <c r="B52" i="15" s="1"/>
  <c r="C42" i="14" l="1"/>
  <c r="D42" i="14" s="1"/>
  <c r="C36" i="14"/>
  <c r="D36" i="14" s="1"/>
  <c r="C35" i="14"/>
  <c r="D35" i="14" s="1"/>
  <c r="J12" i="16"/>
  <c r="B56" i="16" s="1"/>
  <c r="O12" i="16"/>
  <c r="B61" i="16" s="1"/>
  <c r="J6" i="16"/>
  <c r="B20" i="16" s="1"/>
  <c r="O6" i="16"/>
  <c r="B25" i="16" s="1"/>
  <c r="J5" i="16"/>
  <c r="B14" i="16" s="1"/>
  <c r="O5" i="16"/>
  <c r="B19" i="16" s="1"/>
  <c r="K6" i="15"/>
  <c r="B21" i="15" s="1"/>
  <c r="J6" i="15"/>
  <c r="B20" i="15" s="1"/>
  <c r="O6" i="15"/>
  <c r="B25" i="15" s="1"/>
  <c r="M7" i="15"/>
  <c r="B29" i="15" s="1"/>
  <c r="J7" i="15"/>
  <c r="B26" i="15" s="1"/>
  <c r="O7" i="15"/>
  <c r="B31" i="15" s="1"/>
  <c r="L6" i="15"/>
  <c r="B22" i="15" s="1"/>
  <c r="M6" i="15"/>
  <c r="B23" i="15" s="1"/>
  <c r="N6" i="15"/>
  <c r="B24" i="15" s="1"/>
  <c r="L7" i="15"/>
  <c r="B28" i="15" s="1"/>
  <c r="K7" i="15"/>
  <c r="B27" i="15" s="1"/>
  <c r="N7" i="15"/>
  <c r="B30" i="15" s="1"/>
  <c r="M5" i="16"/>
  <c r="B17" i="16" s="1"/>
  <c r="L5" i="16"/>
  <c r="B16" i="16" s="1"/>
  <c r="K5" i="16"/>
  <c r="B15" i="16" s="1"/>
  <c r="N5" i="16"/>
  <c r="B18" i="16" s="1"/>
  <c r="N6" i="16"/>
  <c r="B24" i="16" s="1"/>
  <c r="M6" i="16"/>
  <c r="B23" i="16" s="1"/>
  <c r="L6" i="16"/>
  <c r="B22" i="16" s="1"/>
  <c r="K6" i="16"/>
  <c r="B21" i="16" s="1"/>
  <c r="K12" i="16"/>
  <c r="B57" i="16" s="1"/>
  <c r="L12" i="16"/>
  <c r="B58" i="16" s="1"/>
  <c r="M12" i="16"/>
  <c r="B59" i="16" s="1"/>
  <c r="N12" i="16"/>
  <c r="B60" i="16" s="1"/>
  <c r="I3" i="16"/>
  <c r="C33" i="14" l="1"/>
  <c r="D33" i="14" s="1"/>
  <c r="O3" i="16"/>
  <c r="B7" i="16" s="1"/>
  <c r="J3" i="16"/>
  <c r="I4" i="15"/>
  <c r="C23" i="14" s="1"/>
  <c r="D23" i="14" s="1"/>
  <c r="I3" i="15"/>
  <c r="C22" i="14" s="1"/>
  <c r="D22" i="14" s="1"/>
  <c r="I4" i="16"/>
  <c r="C34" i="14" l="1"/>
  <c r="D34" i="14" s="1"/>
  <c r="O4" i="16"/>
  <c r="B13" i="16" s="1"/>
  <c r="J4" i="16"/>
  <c r="B8" i="16" s="1"/>
  <c r="O3" i="15"/>
  <c r="B7" i="15" s="1"/>
  <c r="J3" i="15"/>
  <c r="B2" i="15" s="1"/>
  <c r="O4" i="15"/>
  <c r="B13" i="15" s="1"/>
  <c r="J4" i="15"/>
  <c r="B8" i="15" s="1"/>
  <c r="L4" i="15"/>
  <c r="B10" i="15" s="1"/>
  <c r="N4" i="15"/>
  <c r="B12" i="15" s="1"/>
  <c r="M4" i="15"/>
  <c r="B11" i="15" s="1"/>
  <c r="K4" i="15"/>
  <c r="B9" i="15" s="1"/>
  <c r="K3" i="15"/>
  <c r="B3" i="15" s="1"/>
  <c r="N3" i="15"/>
  <c r="B6" i="15" s="1"/>
  <c r="L3" i="15"/>
  <c r="B4" i="15" s="1"/>
  <c r="M3" i="15"/>
  <c r="B5" i="15" s="1"/>
  <c r="M3" i="16"/>
  <c r="B5" i="16" s="1"/>
  <c r="K3" i="16"/>
  <c r="B3" i="16" s="1"/>
  <c r="N3" i="16"/>
  <c r="B6" i="16" s="1"/>
  <c r="B2" i="16"/>
  <c r="L3" i="16"/>
  <c r="N4" i="16"/>
  <c r="B12" i="16" s="1"/>
  <c r="L4" i="16"/>
  <c r="B10" i="16" s="1"/>
  <c r="K4" i="16"/>
  <c r="B9" i="16" s="1"/>
  <c r="M4" i="16"/>
  <c r="B11" i="16" s="1"/>
  <c r="B4" i="16" l="1"/>
</calcChain>
</file>

<file path=xl/comments1.xml><?xml version="1.0" encoding="utf-8"?>
<comments xmlns="http://schemas.openxmlformats.org/spreadsheetml/2006/main">
  <authors>
    <author>Atkins, Naomi (DEFA)</author>
  </authors>
  <commentList>
    <comment ref="C23" authorId="0" shapeId="0">
      <text>
        <r>
          <rPr>
            <b/>
            <sz val="9"/>
            <color indexed="81"/>
            <rFont val="Tahoma"/>
            <charset val="1"/>
          </rPr>
          <t>Hover over red triangles for more info</t>
        </r>
      </text>
    </comment>
  </commentList>
</comments>
</file>

<file path=xl/comments2.xml><?xml version="1.0" encoding="utf-8"?>
<comments xmlns="http://schemas.openxmlformats.org/spreadsheetml/2006/main">
  <authors>
    <author>Atkins, Naomi (DEFA)</author>
  </authors>
  <commentList>
    <comment ref="C4" authorId="0" shapeId="0">
      <text>
        <r>
          <rPr>
            <b/>
            <sz val="9"/>
            <color indexed="81"/>
            <rFont val="Tahoma"/>
            <family val="2"/>
          </rPr>
          <t>E.g.: Name of legislation/strategy/event etc.</t>
        </r>
      </text>
    </comment>
  </commentList>
</comments>
</file>

<file path=xl/comments3.xml><?xml version="1.0" encoding="utf-8"?>
<comments xmlns="http://schemas.openxmlformats.org/spreadsheetml/2006/main">
  <authors>
    <author>Lily Paulson</author>
    <author>Atkins, Naomi (DEFA)</author>
  </authors>
  <commentList>
    <comment ref="C32" authorId="0" shapeId="0">
      <text>
        <r>
          <rPr>
            <sz val="9"/>
            <color indexed="81"/>
            <rFont val="Tahoma"/>
            <family val="2"/>
          </rPr>
          <t xml:space="preserve">GHGs are causing climate change which presents many significant risks to life, livelihoods, health and wellbeing. 
Public bodies have a legal obligation to contribute toward meeting national emissions reduction targets 
</t>
        </r>
        <r>
          <rPr>
            <i/>
            <sz val="9"/>
            <color indexed="81"/>
            <rFont val="Tahoma"/>
            <family val="2"/>
          </rPr>
          <t>Climate Change Act 2021, Section 21(a) and (b)</t>
        </r>
      </text>
    </comment>
    <comment ref="E32" authorId="1" shapeId="0">
      <text>
        <r>
          <rPr>
            <sz val="9"/>
            <color indexed="81"/>
            <rFont val="Tahoma"/>
            <family val="2"/>
          </rPr>
          <t xml:space="preserve">The greenhouse gases are: 
(a)  carbon dioxide, primarily released when fossil fuels (coal, gas, oil) are burnt
(b)  methane, primarily released by livestock and waste processes
(c) nitrous oxide, primarily from fertilisers
(d) hydrofluorocarbons, perfluorocarbons, sulphur hexafluoride and nitrogen trifluoride, produced by refrigeration and air-conditioning processes. 
High levels of these gases have led to the greenhouse effect, causing average temperatures to rise and the climate to change.
'Removals' means the process of removing carbon dioxide from the atmosphere and storing it - usually this is acheived through 'nature based solutions' - examples of which include: tree planting, peatland restoration or seagrass planting. Increasing removals reduces the amount of GHGs in the atmosphere and is therefore a positive impact. 
Some examples of proposals likely to </t>
        </r>
        <r>
          <rPr>
            <b/>
            <sz val="9"/>
            <color indexed="81"/>
            <rFont val="Tahoma"/>
            <family val="2"/>
          </rPr>
          <t>reduce</t>
        </r>
        <r>
          <rPr>
            <sz val="9"/>
            <color indexed="81"/>
            <rFont val="Tahoma"/>
            <family val="2"/>
          </rPr>
          <t xml:space="preserve"> GHG emissions:  
• Policies that make low carbon choices easier, cheaper or more accessible 
• Improving insulation in buildings   
• Replacing gas/oil boilers with air-source heat pumps 
• Reducing the amount of waste produced 
• Encouraging public transport, walking, cycling  
• Reducing use of petrol or diesel vehicles
Some examples of proposals likely to </t>
        </r>
        <r>
          <rPr>
            <b/>
            <sz val="9"/>
            <color indexed="81"/>
            <rFont val="Tahoma"/>
            <family val="2"/>
          </rPr>
          <t>increase</t>
        </r>
        <r>
          <rPr>
            <sz val="9"/>
            <color indexed="81"/>
            <rFont val="Tahoma"/>
            <family val="2"/>
          </rPr>
          <t xml:space="preserve"> GHG emissions:
• Policies that make low carbon choices more difficult, more expensive or less accessible 
• Construction
• Relocation of a service (if further away from users)
• Increases in digital storage needs
• Increase in energy use 
• Replacing grassland/woodland with agriculture or settlement</t>
        </r>
        <r>
          <rPr>
            <b/>
            <sz val="9"/>
            <color indexed="81"/>
            <rFont val="Tahoma"/>
            <charset val="1"/>
          </rPr>
          <t xml:space="preserve">
</t>
        </r>
        <r>
          <rPr>
            <sz val="9"/>
            <color indexed="81"/>
            <rFont val="Tahoma"/>
            <charset val="1"/>
          </rPr>
          <t xml:space="preserve">
Possible mitigations: Low carbon technology, route planning, energy efficiencies, targeted support schemes. </t>
        </r>
      </text>
    </comment>
    <comment ref="G32" authorId="1" shapeId="0">
      <text>
        <r>
          <rPr>
            <sz val="9"/>
            <color indexed="81"/>
            <rFont val="Tahoma"/>
            <family val="2"/>
          </rPr>
          <t xml:space="preserve">For more help:
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publicbodiesclimate@gov.im</t>
        </r>
      </text>
    </comment>
    <comment ref="C49" authorId="0" shapeId="0">
      <text>
        <r>
          <rPr>
            <sz val="11"/>
            <color indexed="81"/>
            <rFont val="Calibri"/>
            <family val="2"/>
            <scheme val="minor"/>
          </rPr>
          <t xml:space="preserve">Air quality is important for public health. 
It significantly impacts people's life and lifespan.
Reducing pollution to improve air quality can save lives, protect our NHS, and improve our communities.
Some air pollutants are also GHGs. 
</t>
        </r>
      </text>
    </comment>
    <comment ref="E49" authorId="1" shapeId="0">
      <text>
        <r>
          <rPr>
            <sz val="9"/>
            <color indexed="81"/>
            <rFont val="Tahoma"/>
            <family val="2"/>
          </rPr>
          <t xml:space="preserve">Air quality means the level of pollutants in the air, such as particulate matter, carbon monoxide, ozone, nitrogen dioxide and sulphur dioxide.
Traffic, building heating, construction and industrial processes can all lead to increased levels of air pollutants, which have a negative impact on health. 
Some example of proposals likely to </t>
        </r>
        <r>
          <rPr>
            <b/>
            <sz val="9"/>
            <color indexed="81"/>
            <rFont val="Tahoma"/>
            <family val="2"/>
          </rPr>
          <t>reduce</t>
        </r>
        <r>
          <rPr>
            <sz val="9"/>
            <color indexed="81"/>
            <rFont val="Tahoma"/>
            <family val="2"/>
          </rPr>
          <t xml:space="preserve"> air pollutants: 
• Policies which make low emission travel or heating easier or more affordable. 
• Removing or reducing the use of fossil fuel heating (particularly coal, peat and wood) 
• Reducing use of petrol or diesel vehicles 
• Improving ventilation in buildings (indoor air pollution) 
Some examples of proposals likely to </t>
        </r>
        <r>
          <rPr>
            <b/>
            <sz val="9"/>
            <color indexed="81"/>
            <rFont val="Tahoma"/>
            <family val="2"/>
          </rPr>
          <t>increase</t>
        </r>
        <r>
          <rPr>
            <sz val="9"/>
            <color indexed="81"/>
            <rFont val="Tahoma"/>
            <family val="2"/>
          </rPr>
          <t xml:space="preserve"> air pollutants:
• Policies which make non-fossil fuel travel or heating more difficult or expensive. 
• Policies which make fossil fuel travel or heating easier or more affordable. 
• Increasing standing (idling) traffic
• New industrial or construction sites
Possible mitigations: Use of or measures to encourage the use of alternative technologies/fuels, route/location changes, filters, fabric changes to buildings, targeted support schemes. </t>
        </r>
        <r>
          <rPr>
            <b/>
            <sz val="9"/>
            <color indexed="81"/>
            <rFont val="Tahoma"/>
            <family val="2"/>
          </rPr>
          <t xml:space="preserve">
</t>
        </r>
        <r>
          <rPr>
            <sz val="9"/>
            <color indexed="81"/>
            <rFont val="Tahoma"/>
            <family val="2"/>
          </rPr>
          <t xml:space="preserve">
</t>
        </r>
      </text>
    </comment>
    <comment ref="G49" authorId="1" shapeId="0">
      <text>
        <r>
          <rPr>
            <sz val="9"/>
            <color indexed="81"/>
            <rFont val="Tahoma"/>
            <family val="2"/>
          </rPr>
          <t xml:space="preserve">For more help:
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Alternatively, please contact the Environmental Protection Unit, part of DEFA, environmentalprotection@gov.im or call 685885. </t>
        </r>
      </text>
    </comment>
    <comment ref="C66" authorId="1" shapeId="0">
      <text>
        <r>
          <rPr>
            <sz val="9"/>
            <color indexed="81"/>
            <rFont val="Tahoma"/>
            <family val="2"/>
          </rPr>
          <t xml:space="preserve">Sustainable transport is an essential part of our Island's transition to net zero and supports the public body climate change duties. 
Sustainable transport supports lowering emissions and public health. 
</t>
        </r>
      </text>
    </comment>
    <comment ref="E66" authorId="1" shapeId="0">
      <text>
        <r>
          <rPr>
            <sz val="9"/>
            <color indexed="81"/>
            <rFont val="Tahoma"/>
            <family val="2"/>
          </rPr>
          <t xml:space="preserve">Sustainable transport means low GHG forms of transport, which includes walking, cycling, public transport and electric vehicles.
Proposals which support sustainable transport are those which to make these forms of transport easier/more accessible or more affordable. 
Consider whether your proposal involves any transport (e.g.. by service users, staff or for deliveries) and how it can encourage the use of sustainable transport for those journeys. 
Some example of proposals likely to </t>
        </r>
        <r>
          <rPr>
            <b/>
            <sz val="9"/>
            <color indexed="81"/>
            <rFont val="Tahoma"/>
            <family val="2"/>
          </rPr>
          <t>support</t>
        </r>
        <r>
          <rPr>
            <sz val="9"/>
            <color indexed="81"/>
            <rFont val="Tahoma"/>
            <family val="2"/>
          </rPr>
          <t xml:space="preserve"> sustainable transport 
• Moving services closer to communities 
• Increasing public transport options or reducing their cost  
• Improving cycling and walking infrastructure or road safety
Some example of proposals likely to </t>
        </r>
        <r>
          <rPr>
            <b/>
            <sz val="9"/>
            <color indexed="81"/>
            <rFont val="Tahoma"/>
            <family val="2"/>
          </rPr>
          <t>not support</t>
        </r>
        <r>
          <rPr>
            <sz val="9"/>
            <color indexed="81"/>
            <rFont val="Tahoma"/>
            <family val="2"/>
          </rPr>
          <t xml:space="preserve"> sustainable transport 
• Closing cycle paths 
• Reducing public transport options or making them more expensive
• New fossil fuel vehicles
• Improving access to car parks
Possible mitigations: Location/route changes to make service more accessible, alternative vehicles, pricing to encourage uptake of sustainable options. </t>
        </r>
        <r>
          <rPr>
            <b/>
            <sz val="9"/>
            <color indexed="81"/>
            <rFont val="Tahoma"/>
            <family val="2"/>
          </rPr>
          <t xml:space="preserve">
</t>
        </r>
        <r>
          <rPr>
            <sz val="9"/>
            <color indexed="81"/>
            <rFont val="Tahoma"/>
            <family val="2"/>
          </rPr>
          <t xml:space="preserve">
</t>
        </r>
      </text>
    </comment>
    <comment ref="G66" authorId="1" shapeId="0">
      <text>
        <r>
          <rPr>
            <sz val="9"/>
            <color indexed="81"/>
            <rFont val="Tahoma"/>
            <family val="2"/>
          </rPr>
          <t>For more help:
Access the CIA User Guide and lots of other climate change resources by visiting</t>
        </r>
        <r>
          <rPr>
            <b/>
            <sz val="9"/>
            <color indexed="81"/>
            <rFont val="Tahoma"/>
            <family val="2"/>
          </rPr>
          <t xml:space="preserve"> 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t>
        </r>
      </text>
    </comment>
    <comment ref="C83" authorId="1" shapeId="0">
      <text>
        <r>
          <rPr>
            <sz val="9"/>
            <color indexed="81"/>
            <rFont val="Tahoma"/>
            <family val="2"/>
          </rPr>
          <t xml:space="preserve">Land plays an essential role in our transition to net zero. 
It can remove carbon from the atmosphere and store it. 
How we use our land is also extremely important for our economy and the health and wellbeing of people, plants, animals and ecosystems. 
</t>
        </r>
      </text>
    </comment>
    <comment ref="E83" authorId="1" shapeId="0">
      <text>
        <r>
          <rPr>
            <sz val="9"/>
            <color indexed="81"/>
            <rFont val="Tahoma"/>
            <charset val="1"/>
          </rPr>
          <t xml:space="preserve">Land use change is the process where human activities change the size and/or purpose of a piece of land, including how the land is managed. 
Key impacts are: water quality; availability of water resources; management of flood risk; storage of carbon in soil; habitats for species; and availability of green open space for communities. 
Also consider whether the change in land use or management is permanent or reversible when selecting the level of impact.
Examples of proposals likely to have </t>
        </r>
        <r>
          <rPr>
            <b/>
            <sz val="9"/>
            <color indexed="81"/>
            <rFont val="Tahoma"/>
            <family val="2"/>
          </rPr>
          <t>positive</t>
        </r>
        <r>
          <rPr>
            <sz val="9"/>
            <color indexed="81"/>
            <rFont val="Tahoma"/>
            <charset val="1"/>
          </rPr>
          <t xml:space="preserve"> impacts 
• Conservation of carbon sinks and habitats
• Flood management and sustainable drainage 
• Maximising carbon sequestration and biodiversity by design 
• Increasing green space 
• Ensuring a land management plan is in place 
Examples of proposals likely to have </t>
        </r>
        <r>
          <rPr>
            <b/>
            <sz val="9"/>
            <color indexed="81"/>
            <rFont val="Tahoma"/>
            <family val="2"/>
          </rPr>
          <t>negative</t>
        </r>
        <r>
          <rPr>
            <sz val="9"/>
            <color indexed="81"/>
            <rFont val="Tahoma"/>
            <charset val="1"/>
          </rPr>
          <t xml:space="preserve"> impacts
• Removal of natural flood defences 
• Destruction/damage to carbon sinks and habitats
• Non-permeable ground coverings
• Loss of green space 
</t>
        </r>
      </text>
    </comment>
    <comment ref="G83" authorId="1" shapeId="0">
      <text>
        <r>
          <rPr>
            <sz val="9"/>
            <color indexed="81"/>
            <rFont val="Tahoma"/>
            <family val="2"/>
          </rPr>
          <t xml:space="preserve">For more help:
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If your query relates to habitats, biodiversity or ecosystems - contact the Ecosystem Policy Team on </t>
        </r>
        <r>
          <rPr>
            <b/>
            <sz val="9"/>
            <color indexed="81"/>
            <rFont val="Tahoma"/>
            <family val="2"/>
          </rPr>
          <t>651577</t>
        </r>
        <r>
          <rPr>
            <sz val="9"/>
            <color indexed="81"/>
            <rFont val="Tahoma"/>
            <family val="2"/>
          </rPr>
          <t xml:space="preserve"> or </t>
        </r>
        <r>
          <rPr>
            <b/>
            <sz val="9"/>
            <color indexed="81"/>
            <rFont val="Tahoma"/>
            <family val="2"/>
          </rPr>
          <t xml:space="preserve">ecopolicy@gov.im </t>
        </r>
      </text>
    </comment>
    <comment ref="C100" authorId="1" shapeId="0">
      <text>
        <r>
          <rPr>
            <sz val="9"/>
            <color indexed="81"/>
            <rFont val="Tahoma"/>
            <family val="2"/>
          </rPr>
          <t xml:space="preserve">Climate change duty (e) requires public bodies to support the protection and enhancement of biodiversity, ecosystems and ecosystem services.
Humans rely on biodiversity and ecosystems for life - things like pollination, clean water and healthy soil (these are known as 'ecosystem services')
Actions which support biodiversity can also increase the storage of carbon, removing it from the atmosphere. 
Healthy ecosystems also help us to adapt to the changing climate. 
</t>
        </r>
      </text>
    </comment>
    <comment ref="E100" authorId="1" shapeId="0">
      <text>
        <r>
          <rPr>
            <b/>
            <sz val="9"/>
            <color indexed="81"/>
            <rFont val="Tahoma"/>
            <family val="2"/>
          </rPr>
          <t>Biodiversity</t>
        </r>
        <r>
          <rPr>
            <sz val="9"/>
            <color indexed="81"/>
            <rFont val="Tahoma"/>
            <family val="2"/>
          </rPr>
          <t xml:space="preserve"> is the variety of plants, animals and fungi in the world or a particular habitat. 
An </t>
        </r>
        <r>
          <rPr>
            <b/>
            <sz val="9"/>
            <color indexed="81"/>
            <rFont val="Tahoma"/>
            <family val="2"/>
          </rPr>
          <t>ecosystem</t>
        </r>
        <r>
          <rPr>
            <sz val="9"/>
            <color indexed="81"/>
            <rFont val="Tahoma"/>
            <family val="2"/>
          </rPr>
          <t xml:space="preserve"> is a community of plants, animals and fungi and their physical environment interacting together.
</t>
        </r>
        <r>
          <rPr>
            <b/>
            <sz val="9"/>
            <color indexed="81"/>
            <rFont val="Tahoma"/>
            <family val="2"/>
          </rPr>
          <t>Ecosystem services</t>
        </r>
        <r>
          <rPr>
            <sz val="9"/>
            <color indexed="81"/>
            <rFont val="Tahoma"/>
            <family val="2"/>
          </rPr>
          <t xml:space="preserve"> are the positive benefits that biodiversity or ecosystems provide to people.
Examples of proposals likely to have </t>
        </r>
        <r>
          <rPr>
            <b/>
            <sz val="9"/>
            <color indexed="81"/>
            <rFont val="Tahoma"/>
            <family val="2"/>
          </rPr>
          <t>positive</t>
        </r>
        <r>
          <rPr>
            <sz val="9"/>
            <color indexed="81"/>
            <rFont val="Tahoma"/>
            <family val="2"/>
          </rPr>
          <t xml:space="preserve"> impacts on biodiversity/ecosystems
• Removing concrete to expose soil 
• Tree or seed planting 
• Sustainable Urban Drainage Systems 
• Nature based solutions such as peatland or wetland restoration 
Examples of proposals likely to have </t>
        </r>
        <r>
          <rPr>
            <b/>
            <sz val="9"/>
            <color indexed="81"/>
            <rFont val="Tahoma"/>
            <family val="2"/>
          </rPr>
          <t>negative</t>
        </r>
        <r>
          <rPr>
            <sz val="9"/>
            <color indexed="81"/>
            <rFont val="Tahoma"/>
            <family val="2"/>
          </rPr>
          <t xml:space="preserve"> impacts on biodiversity/ecosystems
• Covering/replacing soil or grass with tarmac, astro-turf etc. 
• Building houses on greenfield sites
• Removing woodland
• Changing lighting levels at night
• Increasing vehicle traffic levels
• Activities that will generate litter or a lot of noise (e.g. a festival or outdoor event)
• Pesticide, weed killer and fertiliser use
Possible mitigations: location choices, wildlife surveys, avoiding activities during sensitive times for wildlife, nature corridors, planting and preservation choices by design, habitat protection, bins, noise/light controls
</t>
        </r>
      </text>
    </comment>
    <comment ref="G100" authorId="1" shapeId="0">
      <text>
        <r>
          <rPr>
            <sz val="9"/>
            <color indexed="81"/>
            <rFont val="Tahoma"/>
            <family val="2"/>
          </rPr>
          <t xml:space="preserve">For more help:
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If your query relates to habitats, biodiversity or ecosystems - contact the Ecosystem Policy Team on </t>
        </r>
        <r>
          <rPr>
            <b/>
            <sz val="9"/>
            <color indexed="81"/>
            <rFont val="Tahoma"/>
            <family val="2"/>
          </rPr>
          <t>651577</t>
        </r>
        <r>
          <rPr>
            <sz val="9"/>
            <color indexed="81"/>
            <rFont val="Tahoma"/>
            <family val="2"/>
          </rPr>
          <t xml:space="preserve"> or </t>
        </r>
        <r>
          <rPr>
            <b/>
            <sz val="9"/>
            <color indexed="81"/>
            <rFont val="Tahoma"/>
            <family val="2"/>
          </rPr>
          <t xml:space="preserve">ecopolicy@gov.im </t>
        </r>
      </text>
    </comment>
    <comment ref="C117" authorId="1" shapeId="0">
      <text>
        <r>
          <rPr>
            <sz val="9"/>
            <color indexed="81"/>
            <rFont val="Tahoma"/>
            <family val="2"/>
          </rPr>
          <t xml:space="preserve">Healthy soils, watercourses and marine environment are important carbon sinks i.e. they absorb and store carbon, reducing the amount in the atmosphere. 
They are also very important for biodiversity and the health of people, plants, animals and ecosystems. 
</t>
        </r>
      </text>
    </comment>
    <comment ref="E117" authorId="1" shapeId="0">
      <text>
        <r>
          <rPr>
            <sz val="9"/>
            <color indexed="81"/>
            <rFont val="Tahoma"/>
            <family val="2"/>
          </rPr>
          <t xml:space="preserve">Soil, watercourse and marine health is about the impact your proposal might have on the plants, animals, fungi and micro-organisms. 
Impacts can be direct (e.g. a new development being built on natural land, converting fields to grassland or putting up bird and bat boxes) or indirect (e.g. increased noise and light pollution, rubbish being left behind after an outdoor event, or fertiliser run-off into rivers). 
It is important to note that this assessment does not take the place of an Environmental Impact Assessment which may be required as part of the Planning process.
Some examples of proposals likely to have positive impacts on soil, watercourse and marine health. 
• Wildflower meadows                                                  • Adding bird/bat boxes or creating ponds         
• Litter picking/reduction and correct disposal of waste      • Creating hedgerows or planting trees         
• Restoring, protecting and enhancing existing habitats      • Sustainable drainage    
Some examples of proposals likely to have negative impacts on soil, watercourse and marine health. 
• Increasing noise or artificial light levels (e.g. outdoor events, in the short term)      • Removing/damaging established habitats
• Increasing fertiliser, pesticide, herbicide/weed killer or other chemical use               • Reducing green space or interrupting a wildlife corridor
• Increasing road/construction run off (e.g.. installation of non-permeable surfaces)    • Sewage or other harmful discharge into the sea or rivers
• Removing water from rivers                                                                            • Open loop ground source heat pumps
• Projects on or near riparian land (e.g. river banks and wetlands)
</t>
        </r>
        <r>
          <rPr>
            <b/>
            <sz val="9"/>
            <color indexed="81"/>
            <rFont val="Tahoma"/>
            <family val="2"/>
          </rPr>
          <t>MORE INFORMATION</t>
        </r>
        <r>
          <rPr>
            <sz val="9"/>
            <color indexed="81"/>
            <rFont val="Tahoma"/>
            <family val="2"/>
          </rPr>
          <t xml:space="preserve">
For agricultural land, healthy soil is achieved through the correct application of nutrients such as nitrates and phosphates, alongside soil testing. In a balanced system, nitrates and phosphates enrich the soil and the health of life which grows from or in it, but many human activities unbalance the system by changing concentrations. This causes problems for plant growth and water retention in soil, harms aquatic life, can reduce crop yield and increase flood risk. 
Where land is being stripped for development consideration on the impact of surface water run-off needs to be reviewed prior to commencing any activity on the land. Insufficient consideration can cause sediment run off which will negatively impact on the health of watercourses and the ecology within. Appropriate settlement ponds and sediment barriers and filters may be required to protect a watercourse during the development. Riparian land (such as river/stream banks and adjacent wetlands) should be left undisturbed as it provides a buffer between watercourses and developments.
Where machinery is being operated within or near to a watercourse appropriate spill kits should be on site in the event an issue arises. Machinery must use biodegradable oil. Investigations into ensuring the appropriate permissions are acquired prior to commencing work is necessary to protect the watercourses and ecology. 
During the summer months protecting watercourses is very important as reduce flow rates tend to be observed. With reduce flow rates the impacts that pollutants can have on the receiving watercourse is amplified due to less dilution. 
</t>
        </r>
        <r>
          <rPr>
            <b/>
            <sz val="9"/>
            <color indexed="81"/>
            <rFont val="Tahoma"/>
            <family val="2"/>
          </rPr>
          <t xml:space="preserve">Possible mitigations: </t>
        </r>
        <r>
          <rPr>
            <sz val="9"/>
            <color indexed="81"/>
            <rFont val="Tahoma"/>
            <family val="2"/>
          </rPr>
          <t xml:space="preserve">Sustainable drainage by design, reduction of/avoiding chemical use, practices which limit soil disturbance, soil testing, spill kits, biodegradable oil in machines, avoid work in summer months.
</t>
        </r>
      </text>
    </comment>
    <comment ref="G117" authorId="1" shapeId="0">
      <text>
        <r>
          <rPr>
            <sz val="9"/>
            <color indexed="81"/>
            <rFont val="Tahoma"/>
            <family val="2"/>
          </rPr>
          <t xml:space="preserve">For more help:
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Re: Impacts on life in water or land: Ecosystem Policy Team at </t>
        </r>
        <r>
          <rPr>
            <b/>
            <sz val="9"/>
            <color indexed="81"/>
            <rFont val="Tahoma"/>
            <family val="2"/>
          </rPr>
          <t>ecopolicy@gov.im</t>
        </r>
        <r>
          <rPr>
            <sz val="9"/>
            <color indexed="81"/>
            <rFont val="Tahoma"/>
            <family val="2"/>
          </rPr>
          <t xml:space="preserve"> / </t>
        </r>
        <r>
          <rPr>
            <b/>
            <sz val="9"/>
            <color indexed="81"/>
            <rFont val="Tahoma"/>
            <family val="2"/>
          </rPr>
          <t>651557</t>
        </r>
        <r>
          <rPr>
            <sz val="9"/>
            <color indexed="81"/>
            <rFont val="Tahoma"/>
            <family val="2"/>
          </rPr>
          <t xml:space="preserve">
For further information or to report an issue in a watercourse please contact the Environmental Protection Unit on </t>
        </r>
        <r>
          <rPr>
            <b/>
            <sz val="9"/>
            <color indexed="81"/>
            <rFont val="Tahoma"/>
            <family val="2"/>
          </rPr>
          <t>685885</t>
        </r>
        <r>
          <rPr>
            <sz val="9"/>
            <color indexed="81"/>
            <rFont val="Tahoma"/>
            <family val="2"/>
          </rPr>
          <t xml:space="preserve"> or email </t>
        </r>
        <r>
          <rPr>
            <b/>
            <sz val="9"/>
            <color indexed="81"/>
            <rFont val="Tahoma"/>
            <family val="2"/>
          </rPr>
          <t>environmentalprotection@gov.im</t>
        </r>
        <r>
          <rPr>
            <sz val="9"/>
            <color indexed="81"/>
            <rFont val="Tahoma"/>
            <family val="2"/>
          </rPr>
          <t xml:space="preserve">
If the proposal involves working in or within 8m of a watercourse please contact Inland Fisheries on </t>
        </r>
        <r>
          <rPr>
            <b/>
            <sz val="9"/>
            <color indexed="81"/>
            <rFont val="Tahoma"/>
            <family val="2"/>
          </rPr>
          <t>685857</t>
        </r>
        <r>
          <rPr>
            <sz val="9"/>
            <color indexed="81"/>
            <rFont val="Tahoma"/>
            <family val="2"/>
          </rPr>
          <t xml:space="preserve"> or email </t>
        </r>
        <r>
          <rPr>
            <b/>
            <sz val="9"/>
            <color indexed="81"/>
            <rFont val="Tahoma"/>
            <family val="2"/>
          </rPr>
          <t>fisheries@gov.im</t>
        </r>
        <r>
          <rPr>
            <sz val="9"/>
            <color indexed="81"/>
            <rFont val="Tahoma"/>
            <family val="2"/>
          </rPr>
          <t xml:space="preserve"> for further information. 
</t>
        </r>
      </text>
    </comment>
    <comment ref="C134" authorId="1" shapeId="0">
      <text>
        <r>
          <rPr>
            <sz val="9"/>
            <color indexed="81"/>
            <rFont val="Tahoma"/>
            <family val="2"/>
          </rPr>
          <t xml:space="preserve">Our climate is changing and this comes with risks. 
We need to make sure that the decisions we make now take this into account and prepare us well for the future. 
Failing to take the changing climate into account could result in avoidable costs and negative impacts on livelihoods, health and wellbeing. </t>
        </r>
      </text>
    </comment>
    <comment ref="E134" authorId="1" shapeId="0">
      <text>
        <r>
          <rPr>
            <sz val="9"/>
            <color indexed="81"/>
            <rFont val="Tahoma"/>
            <family val="2"/>
          </rPr>
          <t xml:space="preserve">A proposal can encourage maladaptation if it does not consider future climate impacts or increases future risk of climate impacts (e.g. a new highly-glazed, energy intensive building risks occupants overheating, or building on flood plains).
Some examples of proposals likely to have </t>
        </r>
        <r>
          <rPr>
            <b/>
            <sz val="9"/>
            <color indexed="81"/>
            <rFont val="Tahoma"/>
            <family val="2"/>
          </rPr>
          <t>positive</t>
        </r>
        <r>
          <rPr>
            <sz val="9"/>
            <color indexed="81"/>
            <rFont val="Tahoma"/>
            <family val="2"/>
          </rPr>
          <t xml:space="preserve"> impacts on adaptation
• Flood defences
• Artificial and natural shading
• Natural flood management (SuDS and trees)
• Financial support, grants, or loans for EVs, retrofit, energy efficiency, walking and cycling etc.
• Educational opportunities and awareness campaigns e.g. Carbon literacy training
• Insulating or retrofitting buildings, energy efficiency measures
• Proposals which take account of adaptation in the development phase
Some examples of proposals likely to have </t>
        </r>
        <r>
          <rPr>
            <b/>
            <sz val="9"/>
            <color indexed="81"/>
            <rFont val="Tahoma"/>
            <family val="2"/>
          </rPr>
          <t>negative</t>
        </r>
        <r>
          <rPr>
            <sz val="9"/>
            <color indexed="81"/>
            <rFont val="Tahoma"/>
            <family val="2"/>
          </rPr>
          <t xml:space="preserve"> impacts on adaptation
• New fossil fuel heating (gas boilers, oil boilers)
• Infrastructure on flood plains
• Increasing energy demand (heating or electricity)
• Removal of natural cooling (e.g. shading trees)
</t>
        </r>
        <r>
          <rPr>
            <b/>
            <sz val="9"/>
            <color indexed="81"/>
            <rFont val="Tahoma"/>
            <family val="2"/>
          </rPr>
          <t>Possible mitigations</t>
        </r>
        <r>
          <rPr>
            <sz val="9"/>
            <color indexed="81"/>
            <rFont val="Tahoma"/>
            <family val="2"/>
          </rPr>
          <t>: Flood defences, location choices, preservation of trees, assess potential threats in detail and create resilience by design, provide support for those least able to adapt, add awareness/educational measures to your proposal</t>
        </r>
        <r>
          <rPr>
            <b/>
            <sz val="9"/>
            <color indexed="81"/>
            <rFont val="Tahoma"/>
            <family val="2"/>
          </rPr>
          <t xml:space="preserve">
</t>
        </r>
        <r>
          <rPr>
            <sz val="9"/>
            <color indexed="81"/>
            <rFont val="Tahoma"/>
            <family val="2"/>
          </rPr>
          <t xml:space="preserve">
</t>
        </r>
      </text>
    </comment>
    <comment ref="G134" authorId="1" shapeId="0">
      <text>
        <r>
          <rPr>
            <sz val="9"/>
            <color indexed="81"/>
            <rFont val="Tahoma"/>
            <family val="2"/>
          </rPr>
          <t xml:space="preserve">For more help:
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t>
        </r>
      </text>
    </comment>
    <comment ref="C151" authorId="1" shapeId="0">
      <text>
        <r>
          <rPr>
            <sz val="9"/>
            <color indexed="81"/>
            <rFont val="Tahoma"/>
            <family val="2"/>
          </rPr>
          <t xml:space="preserve">At the moment, the Island’s electricity supply is mostly generated by burning fossil fuels. This means that energy demand contributes to GHG emissions, which contribute to climate change. 
Reducing energy demand not only reduces emissions but costs as well, so it is essential that public bodies minimise their energy use encourage/enable others to do the same. 
</t>
        </r>
      </text>
    </comment>
    <comment ref="E151" authorId="1" shapeId="0">
      <text>
        <r>
          <rPr>
            <sz val="9"/>
            <color indexed="81"/>
            <rFont val="Tahoma"/>
            <family val="2"/>
          </rPr>
          <t xml:space="preserve">This section is about the impact your proposal will have on the total amount of energy needed and used.
Reducing our energy demand is an important step towards meeting our climate targets and includes the energy to heat homes and buildings, power machinery and vehicles, and use appliances or equipment.
Energy includes electricity but also fuels such as petrol and diesel. 
If your proposal will use only renewable energy, you can select 'not applicable/no impact' and make a note of why in d. so that the person reviewing the assessment understands. 
</t>
        </r>
        <r>
          <rPr>
            <b/>
            <sz val="9"/>
            <color indexed="81"/>
            <rFont val="Tahoma"/>
            <family val="2"/>
          </rPr>
          <t>Some increase in electricity use is expected as we transition away from fossil fuels</t>
        </r>
        <r>
          <rPr>
            <sz val="9"/>
            <color indexed="81"/>
            <rFont val="Tahoma"/>
            <family val="2"/>
          </rPr>
          <t xml:space="preserve">. If your proposal relates to switching from fossil fuels to electric technologies, make a note of that in d. so that the person reviewing the assessment understands the context of the increased electricity demand. 
Electricity from our national network is currently produced using fossil fuels; however, in most cases, switching to electric and away from fossil fuels (e.g. replacing oil/gas boilers with heat pumps or replacing fossil fuel vehicles with electric) </t>
        </r>
        <r>
          <rPr>
            <b/>
            <sz val="9"/>
            <color indexed="81"/>
            <rFont val="Tahoma"/>
            <family val="2"/>
          </rPr>
          <t>produces less emissions</t>
        </r>
        <r>
          <rPr>
            <sz val="9"/>
            <color indexed="81"/>
            <rFont val="Tahoma"/>
            <family val="2"/>
          </rPr>
          <t xml:space="preserve"> overall so, even though your electricity demand may increase, it is still a step in the right direction. 
Likely to </t>
        </r>
        <r>
          <rPr>
            <b/>
            <sz val="9"/>
            <color indexed="81"/>
            <rFont val="Tahoma"/>
            <family val="2"/>
          </rPr>
          <t>reduce</t>
        </r>
        <r>
          <rPr>
            <sz val="9"/>
            <color indexed="81"/>
            <rFont val="Tahoma"/>
            <family val="2"/>
          </rPr>
          <t xml:space="preserve"> energy use: 
• Installing LED lighting 
• Behaviour change campaigns/information 
• Renewable energy generation 
• Choosing more efficient appliances/machinery
• Improving insulation of buildings 
Likely to </t>
        </r>
        <r>
          <rPr>
            <b/>
            <sz val="9"/>
            <color indexed="81"/>
            <rFont val="Tahoma"/>
            <family val="2"/>
          </rPr>
          <t>increase</t>
        </r>
        <r>
          <rPr>
            <sz val="9"/>
            <color indexed="81"/>
            <rFont val="Tahoma"/>
            <family val="2"/>
          </rPr>
          <t xml:space="preserve"> energy use:
• Opening a new service or increasing opening hours
• New or increased industrial/business processes
• Using buildings or appliances with poor energy efficiency  
• Increasing fuel use 
• Increasing digital storage needs</t>
        </r>
        <r>
          <rPr>
            <b/>
            <sz val="9"/>
            <color indexed="81"/>
            <rFont val="Tahoma"/>
            <family val="2"/>
          </rPr>
          <t xml:space="preserve">
</t>
        </r>
        <r>
          <rPr>
            <sz val="9"/>
            <color indexed="81"/>
            <rFont val="Tahoma"/>
            <family val="2"/>
          </rPr>
          <t xml:space="preserve">
</t>
        </r>
      </text>
    </comment>
    <comment ref="G151" authorId="1" shapeId="0">
      <text>
        <r>
          <rPr>
            <sz val="9"/>
            <color indexed="81"/>
            <rFont val="Tahoma"/>
            <family val="2"/>
          </rPr>
          <t xml:space="preserve">For more help:
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t>
        </r>
      </text>
    </comment>
    <comment ref="C168" authorId="1" shapeId="0">
      <text>
        <r>
          <rPr>
            <sz val="9"/>
            <color indexed="81"/>
            <rFont val="Tahoma"/>
            <family val="2"/>
          </rPr>
          <t xml:space="preserve">The materials we use have a carbon footprint and an impact on people and ecosystems.
It is therefore important to consider using sustainable and ethical materials where possible. 
This helps to support sustainable economies, emissions reduction, climate justice, sustainable development and the protection and enhancement of biodiversity, ecosystems and ecosystem services. 
</t>
        </r>
      </text>
    </comment>
    <comment ref="E168" authorId="1" shapeId="0">
      <text>
        <r>
          <rPr>
            <sz val="9"/>
            <color indexed="81"/>
            <rFont val="Tahoma"/>
            <family val="2"/>
          </rPr>
          <t xml:space="preserve">This section relates to the environmental and social sustainability of materials. 
The materials we use have impacts on the environment and on people throughout their life cycle.
It can be difficult to determine the life cycle impact of a material, because often suppliers and manufacturers do not share or do not know all of the preceding steps in their supply chains. However, it is important to consider the sustainability of the materials and products we use. 
Very few raw materials are produced on the Isle of Man, so most goods and materials are imported. If you cannot find what you need locally, the UK and EU have similar standards for most goods/materials so sourcing from these countries makes checking sustainability easier (and reduces transport emissions compared with sourcing from further afield).
Consider whether you need to buy new or could chose a recycled, reused or repurposed product. 
If you need to buy new, consider where the resource is produced, manufactured and transported from and the practices of the companies involved. Look for relevant, recognised certifications such as ISO, FSC (for wood), B-Corporation, Cruelty Free, Fair Trade etc. 
Beware of greenwashing. 
Use of materials that are likely to be more sustainable: 
• Reused, repurposed or recycled products/materials  
• Products/materials which can be reused, repurposed or recycles at end of life
• Products with recognised sustainability or ethics related certifications (ISO, FSC, B-Corp, Fair Trade etc.)  
• Locally produced goods 
• Re-using materials 
• Regenerative, sustainably grown products/materials (e.g. fabrics, foods, wood etc.) 
Use of materials that are likely to be less sustainable: 
• Single-use products/non-recyclable products
• Hazardous materials/materials that generate hazardous waste at end of life
• Excessive use of concrete
• Materials made using fossil fuels, such as plastic
YOU SHOULD CHECK THAT THERE IS A SUITABLE DISPOSAL ROUTE FOR MATERIAL/TECHNOLOGIES TO BE USED, ESPECIALLY IF THEY ARE NOVEL (IE. NEW TO THE MARKET), NOT COMMONLY USED OR POTENTIALLY HAZARDOUS
</t>
        </r>
      </text>
    </comment>
    <comment ref="G168"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Alternatively, contact Environmental Protection Unit at </t>
        </r>
        <r>
          <rPr>
            <b/>
            <sz val="9"/>
            <color indexed="81"/>
            <rFont val="Tahoma"/>
            <family val="2"/>
          </rPr>
          <t xml:space="preserve">environmentalprotection@gov.im  </t>
        </r>
        <r>
          <rPr>
            <sz val="9"/>
            <color indexed="81"/>
            <rFont val="Tahoma"/>
            <family val="2"/>
          </rPr>
          <t xml:space="preserve">
or
the Department of Infrastructure Waste Team, see </t>
        </r>
        <r>
          <rPr>
            <b/>
            <sz val="9"/>
            <color indexed="81"/>
            <rFont val="Tahoma"/>
            <family val="2"/>
          </rPr>
          <t xml:space="preserve">https://www.gov.im/about-the-government/departments/infrastructure/waste-management/   
</t>
        </r>
      </text>
    </comment>
    <comment ref="C185" authorId="0" shapeId="0">
      <text>
        <r>
          <rPr>
            <sz val="9"/>
            <color indexed="81"/>
            <rFont val="Tahoma"/>
            <family val="2"/>
          </rPr>
          <t xml:space="preserve">Disposing of waste is a source of greenhouse gases - it is therefore important to considering how to design proposals in a way which minimises waste.
Disposal of waste can also negatively impact biodiversity, ecosystems and ecosystem services. 
If your proposal is going to produce unavoidable waste, consider how you will ensure that it is disposed of safely and in the most sustainable way. 
</t>
        </r>
      </text>
    </comment>
    <comment ref="E185" authorId="1" shapeId="0">
      <text>
        <r>
          <rPr>
            <sz val="9"/>
            <color indexed="81"/>
            <rFont val="Tahoma"/>
            <family val="2"/>
          </rPr>
          <t xml:space="preserve">This section is about the waste your proposal will generate and how it will be disposed of. The aims are to: 
• decrease the production of avoidable waste
• maintain the value of materials for as long as possible before they are disposed of
• reduce the negative impacts (e.g.. GHG emissions, pollution) of waste by finding the best possible disposal route. 
If a product cannot be recycled, recovery (e.g. anaerobic digestion and industrial composting) should be considered. 
The best disposal route will depend on the types of materials your proposal uses and the disposal routes available. If you are not sure, see 'Get more help' to seek further advice. 
</t>
        </r>
        <r>
          <rPr>
            <b/>
            <sz val="9"/>
            <color indexed="81"/>
            <rFont val="Tahoma"/>
            <family val="2"/>
          </rPr>
          <t>YOU SHOULD CHECK THAT THERE IS A SUITABLE DISPOSAL ROUTE FOR MATERIAL/TECHNOLOGIES TO BE USED, ESPECIALLY IF THEY ARE NOVEL (IE. NEW TO THE MARKET), NOT COMMONLY USED OR POTENTIALLY HAZARDOUS</t>
        </r>
        <r>
          <rPr>
            <sz val="9"/>
            <color indexed="81"/>
            <rFont val="Tahoma"/>
            <family val="2"/>
          </rPr>
          <t xml:space="preserve">
Likely to reduce waste/have </t>
        </r>
        <r>
          <rPr>
            <b/>
            <sz val="9"/>
            <color indexed="81"/>
            <rFont val="Tahoma"/>
            <family val="2"/>
          </rPr>
          <t>positive</t>
        </r>
        <r>
          <rPr>
            <sz val="9"/>
            <color indexed="81"/>
            <rFont val="Tahoma"/>
            <family val="2"/>
          </rPr>
          <t xml:space="preserve"> impacts:
• Leasing, renting, sharing, lending, borrowing an item if not using often 
• Improving/improving access to recycling and repair services
• Keeping products in use for as long as possible through proper cleaning, checking and maintenance
• Choosing products that are built to last or designed to be repaired (e.g. modular) or which can be reused, repurposed, composted etc.
• Ensuring the right disposal route is accessible to and understood (e.g. convenient collection bins, drop-off points or collection days, clear policies/instructions)
• Choosing products with an accredited certification from a reliable source e.g. compostable materials need a seedling logo with an accreditation number
Likely to increase waste/have </t>
        </r>
        <r>
          <rPr>
            <b/>
            <sz val="9"/>
            <color indexed="81"/>
            <rFont val="Tahoma"/>
            <family val="2"/>
          </rPr>
          <t>negative</t>
        </r>
        <r>
          <rPr>
            <sz val="9"/>
            <color indexed="81"/>
            <rFont val="Tahoma"/>
            <family val="2"/>
          </rPr>
          <t xml:space="preserve"> impacts:
• Buying/producing more than you need 
• Purchasing single-use or poorly constructed products
• Unnecessary packaging 
• Demolishing a building
• Any process that generates hazardous waste
• Using products/materials for which there is no disposal route or not identifying a disposal route</t>
        </r>
      </text>
    </comment>
    <comment ref="G185"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Alternatively, contact Environmental Protection Unit at </t>
        </r>
        <r>
          <rPr>
            <b/>
            <sz val="9"/>
            <color indexed="81"/>
            <rFont val="Tahoma"/>
            <family val="2"/>
          </rPr>
          <t xml:space="preserve">environmentalprotection@gov.im  </t>
        </r>
        <r>
          <rPr>
            <sz val="9"/>
            <color indexed="81"/>
            <rFont val="Tahoma"/>
            <family val="2"/>
          </rPr>
          <t xml:space="preserve">
or
the Department of Infrastructure Waste Team, see </t>
        </r>
        <r>
          <rPr>
            <b/>
            <sz val="9"/>
            <color indexed="81"/>
            <rFont val="Tahoma"/>
            <family val="2"/>
          </rPr>
          <t xml:space="preserve">https://www.gov.im/about-the-government/departments/infrastructure/waste-management/ </t>
        </r>
      </text>
    </comment>
  </commentList>
</comments>
</file>

<file path=xl/comments4.xml><?xml version="1.0" encoding="utf-8"?>
<comments xmlns="http://schemas.openxmlformats.org/spreadsheetml/2006/main">
  <authors>
    <author>Lily Paulson</author>
    <author>Atkins, Naomi (DEFA)</author>
  </authors>
  <commentList>
    <comment ref="C6" authorId="0" shapeId="0">
      <text>
        <r>
          <rPr>
            <sz val="12"/>
            <color indexed="81"/>
            <rFont val="Calibri"/>
            <family val="2"/>
            <scheme val="minor"/>
          </rPr>
          <t>Access to healthy and affordable food is critical for health and social equity. 
Local food grown/produced in sustainable ways is key for the environment. 
Climate change presents risks to food supply chains and production. 
Food production contributes significantly to global GHG emissions so sustainable food is an important part of our transition to net zero and ensuring access to all is key to climate justice.  
Access to adequate food is a human right, under Article 25 of the Universal Declaration of Human Rights.</t>
        </r>
        <r>
          <rPr>
            <b/>
            <sz val="9"/>
            <color indexed="81"/>
            <rFont val="Calibri"/>
            <family val="2"/>
            <scheme val="minor"/>
          </rPr>
          <t xml:space="preserve">
</t>
        </r>
      </text>
    </comment>
    <comment ref="E6" authorId="1" shapeId="0">
      <text>
        <r>
          <rPr>
            <sz val="9"/>
            <color indexed="81"/>
            <rFont val="Tahoma"/>
            <family val="2"/>
          </rPr>
          <t xml:space="preserve">This section is about access to healthy and affordable food for a balanced diet that provides the energy and nutrients needed for health and wellbeing. 
Consider whether your proposal includes or is related to food e.g. production, growing, processing, transportation, marketing, selling, supplying, consuming. 
Consider: 
• Food sustainability (methods of production, transportation etc.) 
• Local food
• Food security – reliability, cost and accessibility of food supply and supply chains 
• Knowledge about food, healthy eating and food preparation 
• Food deserts, access to food banks/community fridges, redistribution of food. 
• The ability to grow one’s own food (e.g. access to allotments).
• Menus in schools, prisons and other public services. 
Some examples likely to have a positive impact/improve access in relation to food 
• Support for local food producers and businesses
• Promoting, subsidising, purchasing or supplying food that is healthy and sustainable 
• Subsidised meals/food support for vulnerable people e.g. children, low income households etc. 
• Education and awareness measures re: food, healthy eating and food preparation 
• Improving access to sources of food e.g. retailers, allotments, food banks, longer hours, closer/more locations etc. 
• Provision of options for vegetarians, vegans and other dietary needs and preferences 
Some examples likely to have a negative impact/impede access in relation to food 
• Increased food costs
• Increased costs/decreased support in other areas, leading to ‘heating or eating’ decisions for the most vulnerable. 
• Closures/relocations of places people get food
• Changing food production/agricultural land or allotments to urban development 
• Promoting, subsidising, purchasing or supplying food that is not healthy or not sustainable 
</t>
        </r>
        <r>
          <rPr>
            <sz val="9"/>
            <color indexed="81"/>
            <rFont val="Tahoma"/>
            <charset val="1"/>
          </rPr>
          <t xml:space="preserve">
</t>
        </r>
      </text>
    </comment>
    <comment ref="G6"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Alternatively contact: 
DEFA's Agriculture and Food Directorate: </t>
        </r>
        <r>
          <rPr>
            <b/>
            <sz val="9"/>
            <color indexed="81"/>
            <rFont val="Tahoma"/>
            <family val="2"/>
          </rPr>
          <t xml:space="preserve">agriculture.policy@gov.im
</t>
        </r>
        <r>
          <rPr>
            <sz val="9"/>
            <color indexed="81"/>
            <rFont val="Tahoma"/>
            <family val="2"/>
          </rPr>
          <t>OR</t>
        </r>
        <r>
          <rPr>
            <b/>
            <sz val="9"/>
            <color indexed="81"/>
            <rFont val="Tahoma"/>
            <family val="2"/>
          </rPr>
          <t xml:space="preserve">
</t>
        </r>
        <r>
          <rPr>
            <sz val="9"/>
            <color indexed="81"/>
            <rFont val="Tahoma"/>
            <family val="2"/>
          </rPr>
          <t xml:space="preserve">Cabinet Office - Public Health Team: </t>
        </r>
        <r>
          <rPr>
            <b/>
            <sz val="9"/>
            <color indexed="81"/>
            <rFont val="Tahoma"/>
            <family val="2"/>
          </rPr>
          <t xml:space="preserve">publichealth@gov.im 
</t>
        </r>
      </text>
    </comment>
    <comment ref="C23" authorId="1" shapeId="0">
      <text>
        <r>
          <rPr>
            <sz val="12"/>
            <color indexed="81"/>
            <rFont val="Calibri"/>
            <family val="2"/>
            <scheme val="minor"/>
          </rPr>
          <t xml:space="preserve">The health and wellbeing of our community is at the heart of everything we do as public bodies. 
The health of our economy relies on the health of our community. 
Climate change presents risks to health and wellbeing from severe weather (flooding, drought etc.), risks to food supply, damage to infrastructure etc. 
Access to services and activities which promote and support our physical and mental health and wellbeing is key to social equity and climate justice.
Access to a standard of living adequate for health well-being is a human right under Article 25 of the Universal Declaration of Human Rights. </t>
        </r>
      </text>
    </comment>
    <comment ref="E23" authorId="1" shapeId="0">
      <text>
        <r>
          <rPr>
            <sz val="9"/>
            <color indexed="81"/>
            <rFont val="Calibri"/>
            <family val="2"/>
            <scheme val="minor"/>
          </rPr>
          <t xml:space="preserve">Consider how your proposal could impact people’s health and wellbeing. 
Consider the choices around healthy lifestyles, physical activity or social activity that your proposal may promote or enable.  
Factors impacting health include: access to services, quality of housing, air pollution, access to blue and green space or leisure spaces, social connection, access to healthy food, stress at work or at home. 
Examples likely to have positive impacts on health &amp; wellbeing: 
• Improving access to or quality of health, social care or support services 
• Improving living standards e.g. housing, food, reducing pollution etc. 
• Improving access to cycle infrastructure, green spaces etc. 
• Opening or improving access to a sports, exercise, arts or cultural venue
• Improving education around health choices, mental health etc. 
• Reducing social isolation 
Examples likely to have negative impacts on health &amp; wellbeing: 
• Reducing access to or quality of health, social care or support services 
• Closing community/health activity spaces e.g. sports, exercise, arts or cultural venues
• Persistent noise disturbances
• Increasing traffic
• Removing green spaces or features such as trees. </t>
        </r>
        <r>
          <rPr>
            <b/>
            <sz val="9"/>
            <color indexed="81"/>
            <rFont val="Tahoma"/>
            <family val="2"/>
          </rPr>
          <t xml:space="preserve">
</t>
        </r>
        <r>
          <rPr>
            <sz val="9"/>
            <color indexed="81"/>
            <rFont val="Tahoma"/>
            <family val="2"/>
          </rPr>
          <t xml:space="preserve">
</t>
        </r>
      </text>
    </comment>
    <comment ref="G23" authorId="1" shapeId="0">
      <text>
        <r>
          <rPr>
            <sz val="9"/>
            <color indexed="81"/>
            <rFont val="Tahoma"/>
            <family val="2"/>
          </rPr>
          <t xml:space="preserve">Access the CIA User Guide and lots of other climate change resources by visiting </t>
        </r>
        <r>
          <rPr>
            <b/>
            <sz val="9"/>
            <color indexed="81"/>
            <rFont val="Tahoma"/>
            <family val="2"/>
          </rPr>
          <t xml:space="preserve">netzero.im/publicbodies </t>
        </r>
        <r>
          <rPr>
            <sz val="9"/>
            <color indexed="81"/>
            <rFont val="Tahoma"/>
            <family val="2"/>
          </rPr>
          <t xml:space="preserve">or contact </t>
        </r>
        <r>
          <rPr>
            <b/>
            <sz val="9"/>
            <color indexed="81"/>
            <rFont val="Tahoma"/>
            <family val="2"/>
          </rPr>
          <t xml:space="preserve">publicbodiesclimate@gov.im </t>
        </r>
        <r>
          <rPr>
            <sz val="9"/>
            <color indexed="81"/>
            <rFont val="Tahoma"/>
            <family val="2"/>
          </rPr>
          <t xml:space="preserve">
We will help or find someone who can. 
Alternatively contact: 
Cabinet Office - Public Health Team: publichealth@gov.im 
</t>
        </r>
      </text>
    </comment>
    <comment ref="C40" authorId="1" shapeId="0">
      <text>
        <r>
          <rPr>
            <sz val="11"/>
            <color indexed="81"/>
            <rFont val="Calibri"/>
            <family val="2"/>
            <scheme val="minor"/>
          </rPr>
          <t xml:space="preserve">Poor housing impacts health and our environment. Access to healthy, affordable homes is key to the health and wellbeing of our community and is key to social equity and climate justice. 
Buildings are one of the largest sources of GHG emissions in the Isle of Man, through heating and energy use. Provision of sustainable housing is a critical part of our transition to net zero.
Access to adequate housing is a human right under Article 25 of the Universal Declaration of Human Rights. 
</t>
        </r>
      </text>
    </comment>
    <comment ref="E40" authorId="1" shapeId="0">
      <text>
        <r>
          <rPr>
            <sz val="9"/>
            <color indexed="81"/>
            <rFont val="Calibri"/>
            <family val="2"/>
            <scheme val="minor"/>
          </rPr>
          <t>This section is about the availability of and access to quality housing and affordable homes. 
Housing is a human right and is key to personal wellbeing. 
Quality housing reduces the risk of residents suffering from fuel poverty and other health issues. Poor housing includes issues like damp, cold or mould, overcrowding, needing repairs, and having a high energy use. 
Indirect impacts (e.g. how a development may affect housing affordability in the area) and support for those who are homeless or at risk of homelessness should also be considered here. 
Examples likely to have a positive impact on housing
• Improving housing quality and energy efficiency e.g. insulation, double glazing, draught proofing, ventilation
• Improving tenants’ rights and protections 
• Improving/enforcing/implementing minimum energy efficiency standards
• Energy bill support
• Support for first time buyers
• Improving access to/quality of social housing 
Examples likely to have a negative impact on housing 
• Increased house prices or rents, decreased availability 
• Increased cost of living
• Reducing rights for tenants
• Encouraging purchasing by non-residents leading to many unoccupied properties
• Loss of support services which help prevent homelessness</t>
        </r>
        <r>
          <rPr>
            <b/>
            <sz val="9"/>
            <color indexed="81"/>
            <rFont val="Tahoma"/>
            <family val="2"/>
          </rPr>
          <t xml:space="preserve">
</t>
        </r>
        <r>
          <rPr>
            <sz val="9"/>
            <color indexed="81"/>
            <rFont val="Tahoma"/>
            <family val="2"/>
          </rPr>
          <t xml:space="preserve">
</t>
        </r>
      </text>
    </comment>
    <comment ref="G40" authorId="1" shapeId="0">
      <text>
        <r>
          <rPr>
            <sz val="9"/>
            <color indexed="81"/>
            <rFont val="Calibri"/>
            <family val="2"/>
            <scheme val="minor"/>
          </rPr>
          <t>Access the CIA User Guide and lots of other climate change resources by visiting</t>
        </r>
        <r>
          <rPr>
            <b/>
            <sz val="9"/>
            <color indexed="81"/>
            <rFont val="Calibri"/>
            <family val="2"/>
            <scheme val="minor"/>
          </rPr>
          <t xml:space="preserve"> netzero.im/publicbodies</t>
        </r>
        <r>
          <rPr>
            <sz val="9"/>
            <color indexed="81"/>
            <rFont val="Calibri"/>
            <family val="2"/>
            <scheme val="minor"/>
          </rPr>
          <t xml:space="preserve"> or contact </t>
        </r>
        <r>
          <rPr>
            <b/>
            <sz val="9"/>
            <color indexed="81"/>
            <rFont val="Calibri"/>
            <family val="2"/>
            <scheme val="minor"/>
          </rPr>
          <t xml:space="preserve">publicbodiesclimate@gov.im </t>
        </r>
        <r>
          <rPr>
            <sz val="9"/>
            <color indexed="81"/>
            <rFont val="Calibri"/>
            <family val="2"/>
            <scheme val="minor"/>
          </rPr>
          <t xml:space="preserve">
We will help or find someone who can. 
 </t>
        </r>
      </text>
    </comment>
    <comment ref="C57" authorId="1" shapeId="0">
      <text>
        <r>
          <rPr>
            <sz val="11"/>
            <color indexed="81"/>
            <rFont val="Calibri"/>
            <family val="2"/>
            <scheme val="minor"/>
          </rPr>
          <t xml:space="preserve">Access to quality, affordable education is key to social equity and climate justice. 
Locally and globally the employment market is changing as a result of climate change impacts and measures to reduce emissions. It is essential that learning opportunities are available, accessible and affordable to support a just transition. 
Access to education is a human right, under Article 26 of the Universal Declaration of Human Rights. </t>
        </r>
      </text>
    </comment>
    <comment ref="E57" authorId="1" shapeId="0">
      <text>
        <r>
          <rPr>
            <sz val="9"/>
            <color indexed="81"/>
            <rFont val="Calibri"/>
            <family val="2"/>
            <scheme val="minor"/>
          </rPr>
          <t xml:space="preserve">Education refers to the availability and quality of educational opportunities in the area and includes lifelong learning. 
Consider how your proposal could impact access to and the quality of teaching and learning opportunities – both in and out of schools (inc. extracurricular educational activities). 
Factors to consider include different types of opportunity, the quality of the learning being offered (e.g. duration, opportunities resulting from it), and how accessible it is (e.g. costs, timing, or location). 
Supporting teachers, children and families is included here.  
Examples likely to have a positive impact on education 
• Opening a new school 
• Offering apprenticeships, training, volunteering opportunities etc. 
• Increasing benefits/support for schools, teachers, students, child care, after school learning opportunities, home schooling etc. 
• Educational events
• Improving awareness and provision of adult learning opportunities 
Examples likely to have a negative impact on education  
• Increasing costs for education providers
• Increasing the price of learning experiences
• New housing developments without adequate infrastructure
• Conditions leading to too many pupils or too few teachers in a school
• Reducing benefits/support for schools, teachers, students, child care, after school learning opportunities, home schooling etc. </t>
        </r>
        <r>
          <rPr>
            <b/>
            <sz val="9"/>
            <color indexed="81"/>
            <rFont val="Tahoma"/>
            <family val="2"/>
          </rPr>
          <t xml:space="preserve">
</t>
        </r>
        <r>
          <rPr>
            <sz val="9"/>
            <color indexed="81"/>
            <rFont val="Tahoma"/>
            <family val="2"/>
          </rPr>
          <t xml:space="preserve">
</t>
        </r>
      </text>
    </comment>
    <comment ref="G57"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Alternatively, contact DESC or 
admin.desc@gov.im or 685808</t>
        </r>
      </text>
    </comment>
    <comment ref="C74" authorId="1" shapeId="0">
      <text>
        <r>
          <rPr>
            <sz val="12"/>
            <color indexed="81"/>
            <rFont val="Calibri"/>
            <family val="2"/>
            <scheme val="minor"/>
          </rPr>
          <t xml:space="preserve">The built environment has an important role in health, wellbeing, our communities and the way we live our lives. 
The built environment has the potential to support social equity and climate justice and to encourage low emission, sustainable behaviours. 
The built environment also needs to be designed or adapted to protect people from the impacts of our changing climate. </t>
        </r>
      </text>
    </comment>
    <comment ref="E74" authorId="1" shapeId="0">
      <text>
        <r>
          <rPr>
            <sz val="9"/>
            <color indexed="81"/>
            <rFont val="Calibri"/>
            <family val="2"/>
            <scheme val="minor"/>
          </rPr>
          <t xml:space="preserve">This section is about the impact your proposal might have on the physical space which influences the health and wellbeing and sense of place in local communities. 
A well-designed community has good links to other places which can be accessed safely, green space (e.g. parks, trees, gardens), and spaces to meet (e.g. parks, community halls, allotments). Impacts affecting community could be either long-term or temporary. 
Examples likely to have a positive impact on the built community 
• Improving community buildings and leisure spaces and access to these 
• Improving access to/increasing green spaces, trees, wildflowers etc. 
• New or improved bus services and active travel infrastructure (e.g. walkways, cycle paths)
• Location/design choices which encourage walking, cycling or discourage car use
• Community involvement, needs assessments etc. 
Examples likely to have a negative impact on the built community 
• Changing the location of facilities or services
• Closing community centres/spaces
• Removing green spaces or features such as trees
• Reducing access to travel and transport options </t>
        </r>
        <r>
          <rPr>
            <b/>
            <sz val="9"/>
            <color indexed="81"/>
            <rFont val="Tahoma"/>
            <family val="2"/>
          </rPr>
          <t xml:space="preserve">
</t>
        </r>
        <r>
          <rPr>
            <sz val="9"/>
            <color indexed="81"/>
            <rFont val="Tahoma"/>
            <family val="2"/>
          </rPr>
          <t xml:space="preserve">
</t>
        </r>
      </text>
    </comment>
    <comment ref="G74"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 xml:space="preserve">publicbodiesclimate@gov.im </t>
        </r>
        <r>
          <rPr>
            <sz val="9"/>
            <color indexed="81"/>
            <rFont val="Tahoma"/>
            <family val="2"/>
          </rPr>
          <t xml:space="preserve">
We will help or find someone who can. 
</t>
        </r>
      </text>
    </comment>
    <comment ref="C91" authorId="1" shapeId="0">
      <text>
        <r>
          <rPr>
            <sz val="9"/>
            <color indexed="81"/>
            <rFont val="Tahoma"/>
            <family val="2"/>
          </rPr>
          <t>Cultural community is our sense of belonging, connection and shared ideals. It is a group of people with shared behaviours, practices and beliefs.
Thriving cultural communities are resilient, supportive and creative and are key to wellbeing, social equity and climate justice. 
Seek to support beneficial social connections, networks and activities - such as language, sports, hobbies and the arts.
An example of our cultural community in action was during the pandemic, when people mobilised to support each other and, as a result, were more resilient.</t>
        </r>
      </text>
    </comment>
    <comment ref="E91" authorId="1" shapeId="0">
      <text>
        <r>
          <rPr>
            <sz val="9"/>
            <color indexed="81"/>
            <rFont val="Calibri"/>
            <family val="2"/>
            <scheme val="minor"/>
          </rPr>
          <t>This is about the impact your project/policy might have on the social and cultural resources of communities. This includes: direct provision of services, access to funding (e.g. crowd-funding initiatives, signposting), supporting residents or local groups and cultural activities. Social and cultural resources encourage inclusion and community empowerment and can include commercial and community-led activities. Impacts affecting community could be either long-term or temporary. 
Examples likely to have a positive impact on cultural community 
• Community events and activities
• Support for community led projects and raising awareness of available resources 
• New, or improved access to, community spaces 
• Increased opportunities/support for residents to meet, connect or take part in cultural activities
• Support for Manx and minority languages 
• Support for informal care networks
Examples likely to have a negative impact on cultural community 
• Closure/reduced access to a community/cultural spaces
• Reducing support for community led projects 
• Decreasing opportunities for residents to meet and connect</t>
        </r>
        <r>
          <rPr>
            <b/>
            <sz val="9"/>
            <color indexed="81"/>
            <rFont val="Tahoma"/>
            <family val="2"/>
          </rPr>
          <t xml:space="preserve">
</t>
        </r>
      </text>
    </comment>
    <comment ref="G91"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publicbodiesclimate@gov.im</t>
        </r>
        <r>
          <rPr>
            <sz val="9"/>
            <color indexed="81"/>
            <rFont val="Tahoma"/>
            <family val="2"/>
          </rPr>
          <t xml:space="preserve"> 
We will help or find someone who can. 
</t>
        </r>
      </text>
    </comment>
    <comment ref="C108" authorId="1" shapeId="0">
      <text>
        <r>
          <rPr>
            <sz val="11"/>
            <color indexed="81"/>
            <rFont val="Calibri"/>
            <family val="2"/>
            <scheme val="minor"/>
          </rPr>
          <t xml:space="preserve">Access to services and information is essential for quality of life. Ensuring the right people can access what you need them to will make your proposal more effective. 
This relates not only to people with disabilities but also to people with other barriers, such as income, educational background, language, caring responsibilities/dependants etc. 
Consider the kinds of people who will need to access information/service/locations in relation to your proposal - speak to them to find out whether there are any barriers and how best to address them. 
Tackling climate change involves everyone – so it is essential that climate mitigation and adaptation solutions are accessible to all.  </t>
        </r>
      </text>
    </comment>
    <comment ref="E108" authorId="1" shapeId="0">
      <text>
        <r>
          <rPr>
            <sz val="9"/>
            <color indexed="81"/>
            <rFont val="Calibri"/>
            <family val="2"/>
            <scheme val="minor"/>
          </rPr>
          <t xml:space="preserve">Consider how accessible your proposal will be and whether it will impact the accessibility of other services.
Think about whether your project/policy improves opportunities for access or if it presents any barriers to access.  
Think about location, language, style and methods of communication and outreach, financial barriers, isolation/loneliness
If you are not sure whether your proposal will be accessible to a certain group – or how to improve accessibility – speak to that group. 
Examples likely to have a positive impact on accessibility 
• Location accessible on foot, by bus, and by car
• Forms/meetings available online and in person
• Resources in multiple languages and availability of an interpreter 
• Use of ‘plain English’ and simple, intuitive design (documents, websites etc.) 
• Concessions 
• Accessible building design (consider layout and furniture as well as construction e.g. low counters suitable for wheelchair users) 
• If your proposal involves food, consideration of cultural restrictions, allergies etc. 
Examples likely to have a negative impact on accessibility 
• Location only accessible by car
• Forms only available online, or only in person
• Increasing costs (subscription, fees, fares etc.)
• Inaccessible building design, layout, furniture etc. 
• Complex, technical language (where the information needs to be understood by the general public) </t>
        </r>
        <r>
          <rPr>
            <b/>
            <sz val="9"/>
            <color indexed="81"/>
            <rFont val="Tahoma"/>
            <family val="2"/>
          </rPr>
          <t xml:space="preserve">
</t>
        </r>
        <r>
          <rPr>
            <sz val="9"/>
            <color indexed="81"/>
            <rFont val="Tahoma"/>
            <family val="2"/>
          </rPr>
          <t xml:space="preserve">
</t>
        </r>
      </text>
    </comment>
    <comment ref="G108"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publicbodiesclimate@gov.im</t>
        </r>
        <r>
          <rPr>
            <sz val="9"/>
            <color indexed="81"/>
            <rFont val="Tahoma"/>
            <family val="2"/>
          </rPr>
          <t xml:space="preserve"> 
We will help or find someone who can. 
</t>
        </r>
      </text>
    </comment>
    <comment ref="C125" authorId="1" shapeId="0">
      <text>
        <r>
          <rPr>
            <sz val="9"/>
            <color indexed="81"/>
            <rFont val="Tahoma"/>
            <family val="2"/>
          </rPr>
          <t>A thriving, sustainable economy, where people have ample opportunities for quality jobs and livelihoods that support their health and wellbeing, is essential.   
The global and local economies are changing as a result of climate change impacts and emission reduction measures. As we move away from fossil fuels, the job market is changing. 
It is essential that our economy supports our transition to net zero, while also ensuring that people have access to employment opportunities and that changes are designed with input from those affected. This is critical to delivering a just transition.</t>
        </r>
        <r>
          <rPr>
            <b/>
            <sz val="9"/>
            <color indexed="81"/>
            <rFont val="Tahoma"/>
            <family val="2"/>
          </rPr>
          <t xml:space="preserve">
</t>
        </r>
      </text>
    </comment>
    <comment ref="E125" authorId="1" shapeId="0">
      <text>
        <r>
          <rPr>
            <sz val="9"/>
            <color indexed="81"/>
            <rFont val="Calibri"/>
            <family val="2"/>
            <scheme val="minor"/>
          </rPr>
          <t xml:space="preserve">In line with the just transition principles, consider the need to encourage sustainable, low emission jobs and businesses – and how to help people and our economy toward those types of jobs and businesses. 
Think about access to opportunities; support for local workers and businesses; how information affecting workers and businesses is communicated; support for sustainable business practices/models; workers’ benefits, rights and safety; training and retraining/upskilling; tourism and seasonal businesses. 
Examples likely to have a </t>
        </r>
        <r>
          <rPr>
            <b/>
            <sz val="9"/>
            <color indexed="81"/>
            <rFont val="Calibri"/>
            <family val="2"/>
            <scheme val="minor"/>
          </rPr>
          <t>positive</t>
        </r>
        <r>
          <rPr>
            <sz val="9"/>
            <color indexed="81"/>
            <rFont val="Calibri"/>
            <family val="2"/>
            <scheme val="minor"/>
          </rPr>
          <t xml:space="preserve"> impact on local economy and jobs 
• Local procurement of goods and services where possible
• Supporting start-ups, small businesses etc.
• Apprenticeship/training opportunities, schemes and subsidies
• Support (including information, training, schemes etc.) for energy efficiency measures and sustainable business practices 
• Streamlined paperwork requirements, making application processes easy, avoiding unnecessary bureaucracy. 
Examples likely to have a </t>
        </r>
        <r>
          <rPr>
            <b/>
            <sz val="9"/>
            <color indexed="81"/>
            <rFont val="Calibri"/>
            <family val="2"/>
            <scheme val="minor"/>
          </rPr>
          <t>negative</t>
        </r>
        <r>
          <rPr>
            <sz val="9"/>
            <color indexed="81"/>
            <rFont val="Calibri"/>
            <family val="2"/>
            <scheme val="minor"/>
          </rPr>
          <t xml:space="preserve"> impact on local economy and jobs 
• Increase in business or energy costs
• Short-term, insecure roles (e.g. zero-hour contracts)
• Business closures
• Reduced public transport options
• Increasing training costs or decreasing training opportunities 
• Failure to plan for a just transition – how can we support affected workers and employers as we transition away from fossil fuels and high emitting practices? </t>
        </r>
        <r>
          <rPr>
            <b/>
            <sz val="9"/>
            <color indexed="81"/>
            <rFont val="Tahoma"/>
            <family val="2"/>
          </rPr>
          <t xml:space="preserve">
</t>
        </r>
        <r>
          <rPr>
            <sz val="9"/>
            <color indexed="81"/>
            <rFont val="Tahoma"/>
            <family val="2"/>
          </rPr>
          <t xml:space="preserve">
</t>
        </r>
      </text>
    </comment>
    <comment ref="G125"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publicbodiesclimate@gov.im</t>
        </r>
        <r>
          <rPr>
            <sz val="9"/>
            <color indexed="81"/>
            <rFont val="Tahoma"/>
            <family val="2"/>
          </rPr>
          <t xml:space="preserve"> 
We will help or find someone who can. 
</t>
        </r>
      </text>
    </comment>
    <comment ref="C142" authorId="1" shapeId="0">
      <text>
        <r>
          <rPr>
            <sz val="9"/>
            <color indexed="81"/>
            <rFont val="Tahoma"/>
            <family val="2"/>
          </rPr>
          <t xml:space="preserve">Ensuring that people are safe is fundamental to any proposal. The health and wellbeing of our community depend on having basic needs, such as safety, met. This includes making sure our proposals do not inadvertently encourage or enable any type of crime and that sufficient systems are in place to enforce protections and consequences/penalties. 
If your proposal is creating a law, you need to consider how this will be enforced - what happens if someone breaks it? 
In terms of climate change, think about safety and protection from the impacts of climate change. Also, ensuring that people's fundamental needs are met, that they have what they need to feel secure, opens up bandwidth for climate action. 
</t>
        </r>
      </text>
    </comment>
    <comment ref="E142" authorId="1" shapeId="0">
      <text>
        <r>
          <rPr>
            <sz val="9"/>
            <color indexed="81"/>
            <rFont val="Calibri"/>
            <family val="2"/>
            <scheme val="minor"/>
          </rPr>
          <t xml:space="preserve">This is about the social and environmental factors that might affect safety and influence crime rates. Considerations include factors affecting sense of safety, the real risk of harm to individuals, or the likelihood of someone committing a crime. 
Consider all types of crime e.g. violent crime, fraud, theft, cyber-crime, corporate ‘white-collar’ crime. 
Who is at risk and why? How can the risk be reduced? 
Examples likely to have a </t>
        </r>
        <r>
          <rPr>
            <b/>
            <sz val="9"/>
            <color indexed="81"/>
            <rFont val="Calibri"/>
            <family val="2"/>
            <scheme val="minor"/>
          </rPr>
          <t>positive</t>
        </r>
        <r>
          <rPr>
            <sz val="9"/>
            <color indexed="81"/>
            <rFont val="Calibri"/>
            <family val="2"/>
            <scheme val="minor"/>
          </rPr>
          <t xml:space="preserve"> impact in relation to safety and crime 
• Provision of information about how to stay safe
• Careful consideration of lighting, location and access routes for buildings, services, events etc. 
• Training for service providers (e.g. first aid, de-escalation, etc.) 
• Road planning for safety (e.g. crossing points, cycle lanes etc.)  
• Climate change adaptation measures 
• Support for first responders, ‘blue light’ services etc. (including training, benefits, support services etc.) 
• Robust processes (e.g. audits, data protection, enforcement etc.)
Examples likely to have a </t>
        </r>
        <r>
          <rPr>
            <b/>
            <sz val="9"/>
            <color indexed="81"/>
            <rFont val="Calibri"/>
            <family val="2"/>
            <scheme val="minor"/>
          </rPr>
          <t>negative</t>
        </r>
        <r>
          <rPr>
            <sz val="9"/>
            <color indexed="81"/>
            <rFont val="Calibri"/>
            <family val="2"/>
            <scheme val="minor"/>
          </rPr>
          <t xml:space="preserve"> impact in relation to safety and crime 
• Increased unemployment or increased cost-of-living 
• Reduced support for the most vulnerable (e.g. low income families) 
• Poor planning of lighting, location and access routes for buildings, services, events etc.
• Limited/reduced availability of or support for first responders, ‘blue light’ services etc. 
• Closing community centres or social services</t>
        </r>
        <r>
          <rPr>
            <b/>
            <sz val="9"/>
            <color indexed="81"/>
            <rFont val="Tahoma"/>
            <family val="2"/>
          </rPr>
          <t xml:space="preserve">
</t>
        </r>
        <r>
          <rPr>
            <sz val="9"/>
            <color indexed="81"/>
            <rFont val="Tahoma"/>
            <family val="2"/>
          </rPr>
          <t xml:space="preserve">
</t>
        </r>
      </text>
    </comment>
    <comment ref="G142"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publicbodiesclimate@gov.im</t>
        </r>
        <r>
          <rPr>
            <sz val="9"/>
            <color indexed="81"/>
            <rFont val="Tahoma"/>
            <family val="2"/>
          </rPr>
          <t xml:space="preserve"> 
We will help or find someone who can. 
</t>
        </r>
      </text>
    </comment>
    <comment ref="C159" authorId="1" shapeId="0">
      <text>
        <r>
          <rPr>
            <sz val="9"/>
            <color indexed="81"/>
            <rFont val="Tahoma"/>
            <family val="2"/>
          </rPr>
          <t xml:space="preserve">Equity is about addressing inequalities - both reducing existing inequalities and taking care not to create new ones. 
Equity is fundamental to addressing climate change. 
Those who have done the least to cause climate change are usually most severely affected and the least able to adapt. 
Equity goes beyond the protected characteristics of the Equality Act, incorporating all kinds of differences which could change the way a proposal impacts people. 
Addressing climate change provides a unique opportunity to look at the way we do things and re-evaluate them, creating more equity. 
To really understand the potential impacts of your proposal, speak to the people who will be affected (see also Democratic Voice). 
</t>
        </r>
      </text>
    </comment>
    <comment ref="E159" authorId="1" shapeId="0">
      <text>
        <r>
          <rPr>
            <sz val="9"/>
            <color indexed="81"/>
            <rFont val="Calibri"/>
            <family val="2"/>
            <scheme val="minor"/>
          </rPr>
          <t xml:space="preserve">Equity is the fair and just treatment of all members of a community, with a particular focus on support for groups who have historically suffered discrimination and for whom inequalities currently exist. It is important to avoid exacerbating existing inequalities, reduce the risk of discrimination through safeguards, and ensure equal opportunities.
This section includes similar considerations to, but is not the same as, an Equality Assessment. This section asks you to consider a wider range of characteristics, not covered by equality legislation, such as poverty and educational background. If your proposal effects a group with a protected characteristic, please also complete an Equality Screening/Assessment.  
Consider who will be affected? How can you find out their needs and views? 
How can you allocate the costs and benefits of your proposal according to need and ability to pay? 
Have you used the Fair Change Framework? 
Examples likely to have a </t>
        </r>
        <r>
          <rPr>
            <b/>
            <sz val="9"/>
            <color indexed="81"/>
            <rFont val="Calibri"/>
            <family val="2"/>
            <scheme val="minor"/>
          </rPr>
          <t>positive</t>
        </r>
        <r>
          <rPr>
            <sz val="9"/>
            <color indexed="81"/>
            <rFont val="Calibri"/>
            <family val="2"/>
            <scheme val="minor"/>
          </rPr>
          <t xml:space="preserve"> impact in relation to equity 
• Allocating costs according to ability to pay and benefits according to need
• Involving potentially impacted groups in proposal development
• Improving access to services and information 
• Increasing support or decreasing costs for the most vulnerable (e.g. low income families) 
Examples likely to have a </t>
        </r>
        <r>
          <rPr>
            <b/>
            <sz val="9"/>
            <color indexed="81"/>
            <rFont val="Calibri"/>
            <family val="2"/>
            <scheme val="minor"/>
          </rPr>
          <t>negative</t>
        </r>
        <r>
          <rPr>
            <sz val="9"/>
            <color indexed="81"/>
            <rFont val="Calibri"/>
            <family val="2"/>
            <scheme val="minor"/>
          </rPr>
          <t xml:space="preserve"> impact in relation to equity 
• Not engaging with potentially impacted groups
• Disproportionate or poorly allocated costs/benefits 
• Reducing opportunity/access to services in an area local to a particular group
• Decreasing support or increasing costs for the most vulnerable (e.g. low income families) </t>
        </r>
        <r>
          <rPr>
            <b/>
            <sz val="9"/>
            <color indexed="81"/>
            <rFont val="Tahoma"/>
            <family val="2"/>
          </rPr>
          <t xml:space="preserve">
</t>
        </r>
        <r>
          <rPr>
            <sz val="9"/>
            <color indexed="81"/>
            <rFont val="Tahoma"/>
            <family val="2"/>
          </rPr>
          <t xml:space="preserve">
</t>
        </r>
      </text>
    </comment>
    <comment ref="G159"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publicbodiesclimate@gov.im</t>
        </r>
        <r>
          <rPr>
            <sz val="9"/>
            <color indexed="81"/>
            <rFont val="Tahoma"/>
            <family val="2"/>
          </rPr>
          <t xml:space="preserve"> 
We will help or find someone who can. 
</t>
        </r>
      </text>
    </comment>
    <comment ref="C176" authorId="1" shapeId="0">
      <text>
        <r>
          <rPr>
            <sz val="9"/>
            <color indexed="81"/>
            <rFont val="Calibri"/>
            <family val="2"/>
            <scheme val="minor"/>
          </rPr>
          <t xml:space="preserve">As public bodies, our job is to support, protect and provide services for our community. Democratic voice means ensuring that we meet their needs by effectively finding out what those needs are. This means ensuring people's voices are heard and taken into account in the decisions that affect them. 
Supporting the democratic voice of our community is a core principle within the climate change duties. In particular, the just transition principle. 
For more detail on how you can do this - see the Fair Change Framework. </t>
        </r>
        <r>
          <rPr>
            <b/>
            <sz val="9"/>
            <color indexed="81"/>
            <rFont val="Tahoma"/>
            <family val="2"/>
          </rPr>
          <t xml:space="preserve">
</t>
        </r>
        <r>
          <rPr>
            <sz val="9"/>
            <color indexed="81"/>
            <rFont val="Tahoma"/>
            <family val="2"/>
          </rPr>
          <t xml:space="preserve">
</t>
        </r>
      </text>
    </comment>
    <comment ref="E176" authorId="1" shapeId="0">
      <text>
        <r>
          <rPr>
            <sz val="9"/>
            <color indexed="81"/>
            <rFont val="Calibri"/>
            <family val="2"/>
            <scheme val="minor"/>
          </rPr>
          <t xml:space="preserve">Please refer to the Fair Change Framework, which provides detailed guidance on how to maximise social inclusion in policy development. 
Democratic voice is about the opportunities available to the public to be involved in the decisions affecting their lives. Active, meaningful and early engagement with the public is preferable as it allows people to have a sense of control over their lives.  Meaningful engagement is when the public can truly change or influence the development of a proposal or the outcome of a project/decision.  
Think about the people who will be affected by your proposal e.g. staff, students, families, minority groups, workers or businesses in a particular industry. 
Examples likely to have a </t>
        </r>
        <r>
          <rPr>
            <b/>
            <sz val="9"/>
            <color indexed="81"/>
            <rFont val="Calibri"/>
            <family val="2"/>
            <scheme val="minor"/>
          </rPr>
          <t>positive</t>
        </r>
        <r>
          <rPr>
            <sz val="9"/>
            <color indexed="81"/>
            <rFont val="Calibri"/>
            <family val="2"/>
            <scheme val="minor"/>
          </rPr>
          <t xml:space="preserve"> impact in relation to democratic voice 
• Inclusive development of proposals, involving those who will be affected early. 
• Providing a range of consultation and engagement opportunities and sign posting to them effectively.  
• Being clear about how feedback and engagement can influence the proposal/decision
• Providing feedback on consultation and engagement – letting people know how their input has influenced the proposal. 
• Building engagement and outreach into your proposal (including costs) 
• Taking care to explain technical or complex information using simple, accessible language in consultation/engagement materials. Consider your audience.  
Examples likely to have a </t>
        </r>
        <r>
          <rPr>
            <b/>
            <sz val="9"/>
            <color indexed="81"/>
            <rFont val="Calibri"/>
            <family val="2"/>
            <scheme val="minor"/>
          </rPr>
          <t>negative</t>
        </r>
        <r>
          <rPr>
            <sz val="9"/>
            <color indexed="81"/>
            <rFont val="Calibri"/>
            <family val="2"/>
            <scheme val="minor"/>
          </rPr>
          <t xml:space="preserve"> impact in relation to democratic voice 
• Limited or inaccessible methods of consultation (e.g. only online) and outreach (e.g. only in a press release or only on a website).
• Consulting too late, after decisions have been made. 
• Consultation/engagement materials that are too technical, complex or lengthy. 
• Listening only to the loudest voices – these may not represent the majority view. 
• Ignoring concerns. 
• Giving a false impression of how people’s input and influence a proposal or decision – be clear about aspects of a proposal which cannot be changed and why.</t>
        </r>
        <r>
          <rPr>
            <b/>
            <sz val="9"/>
            <color indexed="81"/>
            <rFont val="Tahoma"/>
            <family val="2"/>
          </rPr>
          <t xml:space="preserve">
</t>
        </r>
        <r>
          <rPr>
            <sz val="9"/>
            <color indexed="81"/>
            <rFont val="Tahoma"/>
            <family val="2"/>
          </rPr>
          <t xml:space="preserve">
</t>
        </r>
      </text>
    </comment>
    <comment ref="G176" authorId="1" shapeId="0">
      <text>
        <r>
          <rPr>
            <sz val="9"/>
            <color indexed="81"/>
            <rFont val="Tahoma"/>
            <family val="2"/>
          </rPr>
          <t xml:space="preserve">Access the CIA User Guide and lots of other climate change resources by visiting </t>
        </r>
        <r>
          <rPr>
            <b/>
            <sz val="9"/>
            <color indexed="81"/>
            <rFont val="Tahoma"/>
            <family val="2"/>
          </rPr>
          <t>netzero.im/publicbodies</t>
        </r>
        <r>
          <rPr>
            <sz val="9"/>
            <color indexed="81"/>
            <rFont val="Tahoma"/>
            <family val="2"/>
          </rPr>
          <t xml:space="preserve"> or contact </t>
        </r>
        <r>
          <rPr>
            <b/>
            <sz val="9"/>
            <color indexed="81"/>
            <rFont val="Tahoma"/>
            <family val="2"/>
          </rPr>
          <t>publicbodiesclimate@gov.im</t>
        </r>
        <r>
          <rPr>
            <sz val="9"/>
            <color indexed="81"/>
            <rFont val="Tahoma"/>
            <family val="2"/>
          </rPr>
          <t xml:space="preserve"> 
We will help or find someone who can. 
</t>
        </r>
      </text>
    </comment>
  </commentList>
</comments>
</file>

<file path=xl/comments5.xml><?xml version="1.0" encoding="utf-8"?>
<comments xmlns="http://schemas.openxmlformats.org/spreadsheetml/2006/main">
  <authors>
    <author>Atkins, Naomi (DEFA)</author>
  </authors>
  <commentList>
    <comment ref="B3" authorId="0" shapeId="0">
      <text>
        <r>
          <rPr>
            <sz val="20"/>
            <color indexed="81"/>
            <rFont val="Calibri"/>
            <family val="2"/>
            <scheme val="minor"/>
          </rPr>
          <t xml:space="preserve">With the exception of the Reviewer's fields, </t>
        </r>
        <r>
          <rPr>
            <b/>
            <sz val="20"/>
            <color indexed="81"/>
            <rFont val="Calibri"/>
            <family val="2"/>
            <scheme val="minor"/>
          </rPr>
          <t xml:space="preserve">this page is auto-filled. </t>
        </r>
        <r>
          <rPr>
            <sz val="20"/>
            <color indexed="81"/>
            <rFont val="Calibri"/>
            <family val="2"/>
            <scheme val="minor"/>
          </rPr>
          <t xml:space="preserve">
</t>
        </r>
        <r>
          <rPr>
            <b/>
            <sz val="20"/>
            <color indexed="81"/>
            <rFont val="Calibri"/>
            <family val="2"/>
            <scheme val="minor"/>
          </rPr>
          <t>Notes for Reviewer and Decision Maker</t>
        </r>
        <r>
          <rPr>
            <sz val="20"/>
            <color indexed="81"/>
            <rFont val="Calibri"/>
            <family val="2"/>
            <scheme val="minor"/>
          </rPr>
          <t xml:space="preserve"> are located to the right of the CIA results table below.
</t>
        </r>
        <r>
          <rPr>
            <b/>
            <sz val="20"/>
            <color indexed="81"/>
            <rFont val="Calibri"/>
            <family val="2"/>
            <scheme val="minor"/>
          </rPr>
          <t>To ensure that all text in the CIA Results table is fully visible</t>
        </r>
        <r>
          <rPr>
            <sz val="20"/>
            <color indexed="81"/>
            <rFont val="Calibri"/>
            <family val="2"/>
            <scheme val="minor"/>
          </rPr>
          <t xml:space="preserve">, select rows 21 - 44 then, at the top of the screen, go to Home -&gt; Cells -&gt; Format -&gt; AutoFit Row Height. 
</t>
        </r>
        <r>
          <rPr>
            <b/>
            <sz val="20"/>
            <color indexed="81"/>
            <rFont val="Calibri"/>
            <family val="2"/>
            <scheme val="minor"/>
          </rPr>
          <t>Caution:</t>
        </r>
        <r>
          <rPr>
            <sz val="20"/>
            <color indexed="81"/>
            <rFont val="Calibri"/>
            <family val="2"/>
            <scheme val="minor"/>
          </rPr>
          <t xml:space="preserve"> Modifying other areas of this page may cause the Impact Wheel to malfunction. If malfunction occurs, 'Undo' (Ctrl+Z) your latest actions until the Impact Wheel returns to normal. 
If you experience technical difficulties, please contact </t>
        </r>
        <r>
          <rPr>
            <u/>
            <sz val="20"/>
            <color indexed="81"/>
            <rFont val="Calibri"/>
            <family val="2"/>
            <scheme val="minor"/>
          </rPr>
          <t>publicbodiesclimate@gov.im</t>
        </r>
        <r>
          <rPr>
            <b/>
            <sz val="16"/>
            <color indexed="81"/>
            <rFont val="Tahoma"/>
            <family val="2"/>
          </rPr>
          <t xml:space="preserve">
</t>
        </r>
        <r>
          <rPr>
            <sz val="9"/>
            <color indexed="81"/>
            <rFont val="Tahoma"/>
            <family val="2"/>
          </rPr>
          <t xml:space="preserve">
</t>
        </r>
      </text>
    </comment>
    <comment ref="C21" authorId="0" shapeId="0">
      <text>
        <r>
          <rPr>
            <b/>
            <sz val="20"/>
            <color indexed="81"/>
            <rFont val="Calibri"/>
            <family val="2"/>
            <scheme val="minor"/>
          </rPr>
          <t>SCORING
4</t>
        </r>
        <r>
          <rPr>
            <sz val="20"/>
            <color indexed="81"/>
            <rFont val="Calibri"/>
            <family val="2"/>
            <scheme val="minor"/>
          </rPr>
          <t xml:space="preserve"> to 8         Significant and/or long term positive impacts identified         (dark green on wheel)
1 to 3         Slight and/or short term positive impacts identified                 (light green on wheel)
0                  Not applicable/No Impact (or not complete)                                (grey or white on wheel)
-1 to -3      Slight and/or short term negative impacts identified                 (yellow on wheel)
-4 to -8      Significant and/or long term negative impacts identified         (red on wheel)
Numerical scoring provided to ensure the tool is suitable for those who are colour blind/unable to see colour.</t>
        </r>
      </text>
    </comment>
  </commentList>
</comments>
</file>

<file path=xl/sharedStrings.xml><?xml version="1.0" encoding="utf-8"?>
<sst xmlns="http://schemas.openxmlformats.org/spreadsheetml/2006/main" count="928" uniqueCount="582">
  <si>
    <t>Social</t>
  </si>
  <si>
    <t>Other Decision</t>
  </si>
  <si>
    <t>Name of officer/person completing assessment</t>
  </si>
  <si>
    <t>Date</t>
  </si>
  <si>
    <t>HIDDEN</t>
  </si>
  <si>
    <t>1. Greenhouse Gases (GHGs)</t>
  </si>
  <si>
    <t>Scores</t>
  </si>
  <si>
    <t>Why does this matter?</t>
  </si>
  <si>
    <t>Yes</t>
  </si>
  <si>
    <t>No</t>
  </si>
  <si>
    <t>2. Air Quality</t>
  </si>
  <si>
    <t>Slightly decrease air pollutants</t>
  </si>
  <si>
    <t>b. Will this impact last beyond the delivery phase of the project?</t>
  </si>
  <si>
    <t>3. Sustainable Transport</t>
  </si>
  <si>
    <t>Significantly encourage the use of sustainable transport</t>
  </si>
  <si>
    <t>4. Land Use Change</t>
  </si>
  <si>
    <t>Not applicable/No Impact</t>
  </si>
  <si>
    <t>5. Biodiversity</t>
  </si>
  <si>
    <t>7. Climate Change Adaptation</t>
  </si>
  <si>
    <t>8. Energy Use</t>
  </si>
  <si>
    <t>Slightly increase energy use</t>
  </si>
  <si>
    <t>d.</t>
  </si>
  <si>
    <t>Both</t>
  </si>
  <si>
    <t>9. Sustainable Materials</t>
  </si>
  <si>
    <t>Not Applicable</t>
  </si>
  <si>
    <t>10. Waste</t>
  </si>
  <si>
    <t>1. Food</t>
  </si>
  <si>
    <t>Opportunities</t>
  </si>
  <si>
    <t>Allotments</t>
  </si>
  <si>
    <t>Food bank</t>
  </si>
  <si>
    <t>Parcels</t>
  </si>
  <si>
    <t>Closure</t>
  </si>
  <si>
    <t>Ads</t>
  </si>
  <si>
    <t>Classes</t>
  </si>
  <si>
    <t>Price</t>
  </si>
  <si>
    <t>Menus</t>
  </si>
  <si>
    <t>Campaign</t>
  </si>
  <si>
    <t>Community</t>
  </si>
  <si>
    <t>Fast food</t>
  </si>
  <si>
    <t>Supermarket</t>
  </si>
  <si>
    <t>2. Health &amp; Wellbeing</t>
  </si>
  <si>
    <t>a. Please specify the impact your project will have on health:</t>
  </si>
  <si>
    <t>Slightly decrease positive health outcomes</t>
  </si>
  <si>
    <t>c. Will this impact on health and wellbeing beyond the delivery location?</t>
  </si>
  <si>
    <t>3. Housing</t>
  </si>
  <si>
    <t>a. Please specify the impact your project will have on housing:</t>
  </si>
  <si>
    <t>c. Will this impact on quality or affordability of homes beyond the delivery location?</t>
  </si>
  <si>
    <t>4. Education</t>
  </si>
  <si>
    <t>a. Please specify the impact your project will have on education:</t>
  </si>
  <si>
    <t>c. Will this impact on education beyond the delivery location?</t>
  </si>
  <si>
    <t>5. Built Community</t>
  </si>
  <si>
    <t>a. Please specify the impact your project will have on the built community:</t>
  </si>
  <si>
    <t>c. Will this impact on built community beyond the delivery location of the project?</t>
  </si>
  <si>
    <t>6. Cultural Community</t>
  </si>
  <si>
    <t>a. Please specify the impact your project will have on culture:</t>
  </si>
  <si>
    <t>c. Will this impact on social and cultural resources beyond the delivery location?</t>
  </si>
  <si>
    <t>7. Accessibility</t>
  </si>
  <si>
    <t>How will this proposal improve access or present barriers to access? Consider: 
• physical barriers (e.g. access for disabled people, lack of safe routes or transport options)
• digital barriers (e.g. broadband connection, online skills)
• social barriers (e.g. isolation, language)
• financial barriers (e.g. costs are too high)</t>
  </si>
  <si>
    <t>a. Please specify the impact your project will have on accessibility:</t>
  </si>
  <si>
    <t>Actively reduces barriers to increase access</t>
  </si>
  <si>
    <t>c. Will this impact accessibility beyond the delivery location of the project?</t>
  </si>
  <si>
    <t>8. Local Economy &amp; Jobs</t>
  </si>
  <si>
    <t>a. Please specify the impact your project will have on the economy or jobs:</t>
  </si>
  <si>
    <t>Slight support for the local economy and/or employment</t>
  </si>
  <si>
    <t>c. Will this impact jobs and local economies beyond the delivery location?</t>
  </si>
  <si>
    <t>9. Safety/Crime</t>
  </si>
  <si>
    <t>a. Please specify the impact your project will have on safety:</t>
  </si>
  <si>
    <t>c. Will this impact crime beyond the delivery location?</t>
  </si>
  <si>
    <t>10. Equity</t>
  </si>
  <si>
    <t>a. Please specify the impact your project will have on equity:</t>
  </si>
  <si>
    <t>No groups differentially impacted</t>
  </si>
  <si>
    <t>c. Will this impact equity beyond the delivery location?</t>
  </si>
  <si>
    <t>11. Democratic Voice</t>
  </si>
  <si>
    <t xml:space="preserve">How will the public be involved in decisions that may affect their lives? Consider:
• have you followed the recommendations in the Fair Change Framework? 
• how have you involved the community in the design phase?
• making engagement meaningful
• giving opportunities for a cross-section of community members to have involvement in decisions
</t>
  </si>
  <si>
    <t>a. Please specify the impact your project will have on participation:</t>
  </si>
  <si>
    <t>Some engagement with opportunities for involvement or consultation</t>
  </si>
  <si>
    <t>c. Will this impact democratic voice beyond the delivery location?</t>
  </si>
  <si>
    <t>GHG</t>
  </si>
  <si>
    <t>Environmental</t>
  </si>
  <si>
    <t>Score</t>
  </si>
  <si>
    <t>green</t>
  </si>
  <si>
    <t>light green</t>
  </si>
  <si>
    <t>grey</t>
  </si>
  <si>
    <t>amber</t>
  </si>
  <si>
    <t>red</t>
  </si>
  <si>
    <t>Blank</t>
  </si>
  <si>
    <t>Air quality</t>
  </si>
  <si>
    <t>Sustainable Transport</t>
  </si>
  <si>
    <t>Land use change</t>
  </si>
  <si>
    <t>Biodiversity</t>
  </si>
  <si>
    <t>air quality</t>
  </si>
  <si>
    <t>Climate change adaptation</t>
  </si>
  <si>
    <t>Energy Use</t>
  </si>
  <si>
    <t>Sustainable Materials</t>
  </si>
  <si>
    <t>Waste</t>
  </si>
  <si>
    <t>transport</t>
  </si>
  <si>
    <t>climate change adaptation</t>
  </si>
  <si>
    <t>energy use</t>
  </si>
  <si>
    <t>materials</t>
  </si>
  <si>
    <t>waste</t>
  </si>
  <si>
    <t>Food</t>
  </si>
  <si>
    <t>Health and wellbeing</t>
  </si>
  <si>
    <t>Housing</t>
  </si>
  <si>
    <t>Education</t>
  </si>
  <si>
    <t>Built Community</t>
  </si>
  <si>
    <t>health</t>
  </si>
  <si>
    <t>Cultural Community</t>
  </si>
  <si>
    <t>Accessibility</t>
  </si>
  <si>
    <t>Local Economy and jobs</t>
  </si>
  <si>
    <t>Safety</t>
  </si>
  <si>
    <t>Democratic voice</t>
  </si>
  <si>
    <t>Equity</t>
  </si>
  <si>
    <t>housing</t>
  </si>
  <si>
    <t>education</t>
  </si>
  <si>
    <t>built</t>
  </si>
  <si>
    <t>culture</t>
  </si>
  <si>
    <t>access</t>
  </si>
  <si>
    <t>economy</t>
  </si>
  <si>
    <t>safety</t>
  </si>
  <si>
    <t>democracy</t>
  </si>
  <si>
    <t>equity</t>
  </si>
  <si>
    <t>Not applicable or no cause for concern.</t>
  </si>
  <si>
    <t>Slight or short-term negative impact identified. Review to identify possible improvements.</t>
  </si>
  <si>
    <t>GHGs</t>
  </si>
  <si>
    <t>Health</t>
  </si>
  <si>
    <t>Culture</t>
  </si>
  <si>
    <t>Climate Change Adaptation</t>
  </si>
  <si>
    <t>Local Economy and Jobs</t>
  </si>
  <si>
    <t>Democratic Voice</t>
  </si>
  <si>
    <t>Air Quality</t>
  </si>
  <si>
    <t>Land Use Change</t>
  </si>
  <si>
    <t>ENVIRONMENTAL</t>
  </si>
  <si>
    <t>Action</t>
  </si>
  <si>
    <t>Reviewed</t>
  </si>
  <si>
    <t>Name of proposal</t>
  </si>
  <si>
    <t>SOCIAL</t>
  </si>
  <si>
    <t xml:space="preserve">Type </t>
  </si>
  <si>
    <t>Aims, objectives, anticipated outcomes</t>
  </si>
  <si>
    <t>Responsible for implementing/delivering the proposal</t>
  </si>
  <si>
    <t>Slight decrease</t>
  </si>
  <si>
    <t>Short-term</t>
  </si>
  <si>
    <t>Slight increase</t>
  </si>
  <si>
    <t>No change or n/a</t>
  </si>
  <si>
    <t>N/A</t>
  </si>
  <si>
    <t>Long-term</t>
  </si>
  <si>
    <t>Significant increase</t>
  </si>
  <si>
    <t>Statement</t>
  </si>
  <si>
    <t>Accepted</t>
  </si>
  <si>
    <t>Overarching programme or strategy</t>
  </si>
  <si>
    <t>Queried</t>
  </si>
  <si>
    <t>Policy</t>
  </si>
  <si>
    <t>Rejected</t>
  </si>
  <si>
    <t>Project</t>
  </si>
  <si>
    <t>Event</t>
  </si>
  <si>
    <t>Significant decrease</t>
  </si>
  <si>
    <t>Yes - slightly</t>
  </si>
  <si>
    <t>No further action needed</t>
  </si>
  <si>
    <t>Significant involvement</t>
  </si>
  <si>
    <t>Yes - significantly</t>
  </si>
  <si>
    <t>Recommendation applied</t>
  </si>
  <si>
    <t>Some involvement</t>
  </si>
  <si>
    <t>Recommendation not applied</t>
  </si>
  <si>
    <t>No involvement</t>
  </si>
  <si>
    <t>Significantly promote healthy and/or affordable food</t>
  </si>
  <si>
    <t>Significantly decrease air pollutants</t>
  </si>
  <si>
    <t>Slightly promote healthy and/or affordable food</t>
  </si>
  <si>
    <t>Slightly impede healthy and/or affordable food</t>
  </si>
  <si>
    <t>Slightly increase air pollutants</t>
  </si>
  <si>
    <t>Significantly impede healthy and/or affordable food</t>
  </si>
  <si>
    <t>Significantly increase air pollutants</t>
  </si>
  <si>
    <t>Significantly increase positive health outcomes</t>
  </si>
  <si>
    <t>Slightly increase positive health outcomes</t>
  </si>
  <si>
    <t xml:space="preserve">Slightly encourage the use of sustainable transport </t>
  </si>
  <si>
    <t>Slightly discourage the use of sustainable transport</t>
  </si>
  <si>
    <t>Significantly decrease positive health outcomes</t>
  </si>
  <si>
    <t xml:space="preserve">Significantly discourage the use of sustainable transport </t>
  </si>
  <si>
    <t>Significantly increase the number of or access to quality and/or affordable homes</t>
  </si>
  <si>
    <t>Significant change to land use that increases positive impacts</t>
  </si>
  <si>
    <t>Slightly increase the number of or access to quality and/or affordable homes</t>
  </si>
  <si>
    <t>Slight change to land use that increases positive impacts</t>
  </si>
  <si>
    <t>Slightly decrease the number of or access to quality and/or affordable homes</t>
  </si>
  <si>
    <t>Slight change to land use that increases negative impacts</t>
  </si>
  <si>
    <t>Significantly decrease the number of or access to quality and/or affordable homes</t>
  </si>
  <si>
    <t>Significant change to land use that increases negative impacts</t>
  </si>
  <si>
    <t>Significantly increase the availability of learning opportunities</t>
  </si>
  <si>
    <t>Significantly improve biodiversity by restoring or creating new habitats</t>
  </si>
  <si>
    <t>Slightly increase the availability of learning opportunities</t>
  </si>
  <si>
    <t>Slightly improve biodiversity by improving existing habitats or supporting species</t>
  </si>
  <si>
    <t>Slightly decrease the availability of learning opportunities</t>
  </si>
  <si>
    <t>Slightly reduce biodiversity by impacting the quality of habitats or affecting species</t>
  </si>
  <si>
    <t>Significantly decrease the availability of learning opportunities</t>
  </si>
  <si>
    <t>Significantly reduce biodiversity by reducing or replacing existing habitat(s)</t>
  </si>
  <si>
    <t>Built community</t>
  </si>
  <si>
    <t>Significantly improve facilities, shared spaces, connectivity or resources</t>
  </si>
  <si>
    <t>Significant decrease in pollutants in soil or water</t>
  </si>
  <si>
    <t>Slightly improve facilities, shared spaces, connectivity or resources</t>
  </si>
  <si>
    <t>Slight decrease in pollutants in soil or water</t>
  </si>
  <si>
    <t>Slightly reduce facilities, shared spaces, connectivity or resources</t>
  </si>
  <si>
    <t>Slight increase in pollutants in soil or water</t>
  </si>
  <si>
    <t>Significantly reduce facilities, shared spaces, connectivity or resources</t>
  </si>
  <si>
    <t>Significant increase in pollutants in soil or water</t>
  </si>
  <si>
    <t>Significantly increase social or cultural resources or support</t>
  </si>
  <si>
    <t>Significantly increase adaptation</t>
  </si>
  <si>
    <t>Slightly increase social or cultural resources or support</t>
  </si>
  <si>
    <t>Slightly increase adaptation</t>
  </si>
  <si>
    <t>Slightly reduce social or cultural resources or support</t>
  </si>
  <si>
    <t>Slightly decrease adaptation</t>
  </si>
  <si>
    <t>Significantly reduce social or cultural resources or support</t>
  </si>
  <si>
    <t>Significantly decrease adaptation</t>
  </si>
  <si>
    <t>Renewables</t>
  </si>
  <si>
    <t>Significantly decrease energy use</t>
  </si>
  <si>
    <t>Fossil fuels</t>
  </si>
  <si>
    <t>Presents no barriers to access</t>
  </si>
  <si>
    <t>Slightly decrease energy use</t>
  </si>
  <si>
    <t>Risk of some barriers to access</t>
  </si>
  <si>
    <t>Presents barriers to access in one or more areas</t>
  </si>
  <si>
    <t>Significantly increase energy use</t>
  </si>
  <si>
    <t>Local economy and employment</t>
  </si>
  <si>
    <t>Significant support for the local economy and/or employment</t>
  </si>
  <si>
    <t>Sustainable resources used throughout</t>
  </si>
  <si>
    <t>Sustainable resources used in most places</t>
  </si>
  <si>
    <t>Slightly undermine support for the local economy and/or employment</t>
  </si>
  <si>
    <t>Significantly undermine support for the local economy and/or employment</t>
  </si>
  <si>
    <t>Safety/Crime</t>
  </si>
  <si>
    <t>Significantly increase safety and/or significantly reduce risk of harm</t>
  </si>
  <si>
    <t>Significantly reduce overall quantities of waste</t>
  </si>
  <si>
    <t>Slightly increase safety and/or significantly reduce risk of harm</t>
  </si>
  <si>
    <t>Slightly reduce overall quantities of waste</t>
  </si>
  <si>
    <t>Slightly decrease safety and/or increase risk of harm</t>
  </si>
  <si>
    <t>Slightly increase overall quantities of waste</t>
  </si>
  <si>
    <t>Significantly decrease safety and/or increase risk of harm</t>
  </si>
  <si>
    <t>Significantly increase overall quantities of waste</t>
  </si>
  <si>
    <t>No groups differentially impacted and active promotion of safeguards</t>
  </si>
  <si>
    <t>Some groups differentially impacted but with safeguards in place</t>
  </si>
  <si>
    <t>Some groups differentially impacted</t>
  </si>
  <si>
    <t>Significant opportunities for involvement in and influence on planning and/or decisions</t>
  </si>
  <si>
    <t>Advisory engagement with no opportunities for involvement</t>
  </si>
  <si>
    <t>No communication or engagement</t>
  </si>
  <si>
    <t>Legislation</t>
  </si>
  <si>
    <r>
      <t>If you choose '</t>
    </r>
    <r>
      <rPr>
        <b/>
        <sz val="11"/>
        <color theme="1"/>
        <rFont val="Calibri"/>
        <family val="2"/>
        <scheme val="minor"/>
      </rPr>
      <t>Not applicable/No impact</t>
    </r>
    <r>
      <rPr>
        <sz val="11"/>
        <color theme="1"/>
        <rFont val="Calibri"/>
        <family val="2"/>
        <scheme val="minor"/>
      </rPr>
      <t>' in question a. of any section, then questions b. and c. will appear hatched grey and you do not need to answer them.</t>
    </r>
  </si>
  <si>
    <t>In each section you will find icons indicating the relevant UN Sustainable Development Goal (SDG)</t>
  </si>
  <si>
    <t>For more information on the SDGs, click here.</t>
  </si>
  <si>
    <t>Soil, Waterway and Marine Health</t>
  </si>
  <si>
    <r>
      <t>Question b. in each section asks about '</t>
    </r>
    <r>
      <rPr>
        <b/>
        <sz val="11"/>
        <color theme="1"/>
        <rFont val="Calibri"/>
        <family val="2"/>
        <scheme val="minor"/>
      </rPr>
      <t>impacts beyond the delivery phase'</t>
    </r>
    <r>
      <rPr>
        <sz val="11"/>
        <color theme="1"/>
        <rFont val="Calibri"/>
        <family val="2"/>
        <scheme val="minor"/>
      </rPr>
      <t xml:space="preserve"> - the 'delivery phase' means the actions necessary for </t>
    </r>
    <r>
      <rPr>
        <b/>
        <sz val="11"/>
        <color theme="1"/>
        <rFont val="Calibri"/>
        <family val="2"/>
        <scheme val="minor"/>
      </rPr>
      <t>setting up/putting in place</t>
    </r>
    <r>
      <rPr>
        <sz val="11"/>
        <color theme="1"/>
        <rFont val="Calibri"/>
        <family val="2"/>
        <scheme val="minor"/>
      </rPr>
      <t xml:space="preserve"> rather than the ongoing implementation/running of the project or policy. </t>
    </r>
  </si>
  <si>
    <t>No changes needed.</t>
  </si>
  <si>
    <t xml:space="preserve">Significant and/or long-term positive impact identified. </t>
  </si>
  <si>
    <t>KEY</t>
  </si>
  <si>
    <t>IMPACTS</t>
  </si>
  <si>
    <t xml:space="preserve">ACTION </t>
  </si>
  <si>
    <t xml:space="preserve">Slight or short-term positive impact identified. </t>
  </si>
  <si>
    <t>No changes needed but could be reviewed to improve.</t>
  </si>
  <si>
    <t>Review to identify possible improvements.</t>
  </si>
  <si>
    <t>Significant and/or long-term negative impact identified.</t>
  </si>
  <si>
    <t xml:space="preserve">Changes needed before proceeding.
If changes are not possible, justification required. </t>
  </si>
  <si>
    <t>Responses incomplete.</t>
  </si>
  <si>
    <t xml:space="preserve">Please return to assessment and answer all of the questions in this section. </t>
  </si>
  <si>
    <t>Soil, Watercourse and Marine Health</t>
  </si>
  <si>
    <t xml:space="preserve">Who completed this assessment? </t>
  </si>
  <si>
    <t>Enter a brief description of the proposal:</t>
  </si>
  <si>
    <t>Aims, objectives, anticipated outcomes of proposal:</t>
  </si>
  <si>
    <t>List those responsible for implementing/delivering the proposal:</t>
  </si>
  <si>
    <t>Date assessment completed:</t>
  </si>
  <si>
    <t xml:space="preserve">6. Soil, watercourse and marine health </t>
  </si>
  <si>
    <t xml:space="preserve">RESULT: </t>
  </si>
  <si>
    <t xml:space="preserve">Equality Impact Assessment </t>
  </si>
  <si>
    <t xml:space="preserve">Data Protection Impact Assessment </t>
  </si>
  <si>
    <t xml:space="preserve">Climate Impact Assessment </t>
  </si>
  <si>
    <t xml:space="preserve">Climate Impact Assessment - Screening </t>
  </si>
  <si>
    <t>Does your proposal…</t>
  </si>
  <si>
    <t>Require or create changes to —
(i) spending;
(ii) allocation of funding; or
(iii) annual revenue;
amounting to at least £100,000;</t>
  </si>
  <si>
    <t xml:space="preserve">Select from drop down </t>
  </si>
  <si>
    <t xml:space="preserve">CIA </t>
  </si>
  <si>
    <t>SCREENING</t>
  </si>
  <si>
    <r>
      <t xml:space="preserve">If you choose to exercise this discretion you </t>
    </r>
    <r>
      <rPr>
        <b/>
        <sz val="12"/>
        <color theme="1"/>
        <rFont val="Calibri"/>
        <family val="2"/>
        <scheme val="minor"/>
      </rPr>
      <t>MUST</t>
    </r>
    <r>
      <rPr>
        <sz val="12"/>
        <color theme="1"/>
        <rFont val="Calibri"/>
        <family val="2"/>
        <scheme val="minor"/>
      </rPr>
      <t xml:space="preserve"> explain why: </t>
    </r>
  </si>
  <si>
    <t>DISCRETION</t>
  </si>
  <si>
    <t>Please proceed to CIA-Screening</t>
  </si>
  <si>
    <t>What type of proposal is being assessed? (choose from drop down)</t>
  </si>
  <si>
    <t>Enter the name of the lead/contact person:</t>
  </si>
  <si>
    <t>PROPOSAL DETAILS</t>
  </si>
  <si>
    <t xml:space="preserve">Complete the following questions to find out if a Climate Impact Assessment is required: </t>
  </si>
  <si>
    <t xml:space="preserve">If your screening returns a result of NO CIA REQUIRED you do not need to complete the 'CIA-Environment' or 'CIA-Social' sections of this tool. </t>
  </si>
  <si>
    <t xml:space="preserve">(b) </t>
  </si>
  <si>
    <t xml:space="preserve">(c) </t>
  </si>
  <si>
    <t xml:space="preserve">(d) </t>
  </si>
  <si>
    <t xml:space="preserve">(e) </t>
  </si>
  <si>
    <t>the meeting of any interim target;</t>
  </si>
  <si>
    <t>supporting the just transition principles and the climate justice principle;</t>
  </si>
  <si>
    <t xml:space="preserve">sustainable development, including the achievement of the United Nations sustainable  </t>
  </si>
  <si>
    <t>protecting and enhancing biodiversity, ecosystems and ecosystem services.</t>
  </si>
  <si>
    <t>development goals; and</t>
  </si>
  <si>
    <t>the meeting of the net zero emissions target by the net zero emissions target year;</t>
  </si>
  <si>
    <t xml:space="preserve">(a) </t>
  </si>
  <si>
    <t xml:space="preserve">The Climate Impact Assessment helps to ensure that the decisions of public bodies align with the climate change duties for public bodies (section 21 of the Climate Change Act 2021), as follows: 
</t>
  </si>
  <si>
    <t>(1)          A public body, in performing its duties, must act in the way that it considers best to contribute to —</t>
  </si>
  <si>
    <t>Completing the CIA:</t>
  </si>
  <si>
    <t xml:space="preserve">Why does this matter? </t>
  </si>
  <si>
    <t xml:space="preserve">Why is this important? </t>
  </si>
  <si>
    <t>PART 1: ENVIRONMENTAL IMPACTS</t>
  </si>
  <si>
    <t>PART 2: SOCIAL IMPACTS</t>
  </si>
  <si>
    <t>INTRODUCTION</t>
  </si>
  <si>
    <t>Please answer all sections</t>
  </si>
  <si>
    <t>a. Please specify the impact your project will have on food:</t>
  </si>
  <si>
    <t>c. Will there be an impact on food beyond the delivery location of the project?</t>
  </si>
  <si>
    <t>a.</t>
  </si>
  <si>
    <t>b.</t>
  </si>
  <si>
    <t>c.</t>
  </si>
  <si>
    <t>Will this impact waste beyond the intended delivery location?</t>
  </si>
  <si>
    <t>Will this impact last beyond the delivery phase?</t>
  </si>
  <si>
    <t>Please specify the impact your proposal will have on waste:</t>
  </si>
  <si>
    <t>Please specify the impact your proposal will have on sustainable materials:</t>
  </si>
  <si>
    <t xml:space="preserve"> Will this impact sustainable material use beyond the intended delivery location?</t>
  </si>
  <si>
    <t>Will this impact energy use beyond the intended delivery location?</t>
  </si>
  <si>
    <t>Please specify the impact your proposal will have on energy use (from the national supply):</t>
  </si>
  <si>
    <t>Please specify the impact your proposal will have on adaptation to climate change:</t>
  </si>
  <si>
    <t>Will this impact adaptation beyond the intended delivery location?</t>
  </si>
  <si>
    <t>Please specify the impact your proposal will have on soil, watercourse and marine health:</t>
  </si>
  <si>
    <t>Will this impact soil or watercourse health beyond the intended delivery location?</t>
  </si>
  <si>
    <t>Please specify the impact your proposal will have on biodiversity:</t>
  </si>
  <si>
    <t>Will this impact biodiversity beyond the intended delivery location?</t>
  </si>
  <si>
    <t>Please specify the impact your proposal will have on land use change:</t>
  </si>
  <si>
    <t>Will this impact land use beyond the intended delivery location?</t>
  </si>
  <si>
    <t>Please specify the impact your proposal will have on sustainable transport:</t>
  </si>
  <si>
    <t>Will this impact sustainable transport beyond the intended delivery location?</t>
  </si>
  <si>
    <t>Please specify the impact your proposal will have on air pollution:</t>
  </si>
  <si>
    <t>Will this impact air quality beyond the intended delivery location?</t>
  </si>
  <si>
    <t>Please specify the impact your proposal will have on GHGs:</t>
  </si>
  <si>
    <t>Will this have an impact beyond the intended delivery location?</t>
  </si>
  <si>
    <t>Why is this important?</t>
  </si>
  <si>
    <t>More help</t>
  </si>
  <si>
    <r>
      <t xml:space="preserve">Question d. asks you to </t>
    </r>
    <r>
      <rPr>
        <b/>
        <sz val="11"/>
        <color theme="1"/>
        <rFont val="Calibri"/>
        <family val="2"/>
        <scheme val="minor"/>
      </rPr>
      <t>explain your answers</t>
    </r>
    <r>
      <rPr>
        <sz val="11"/>
        <color theme="1"/>
        <rFont val="Calibri"/>
        <family val="2"/>
        <scheme val="minor"/>
      </rPr>
      <t xml:space="preserve"> and provides a free text field for you to explain your mitigations and justifications. This helps with the review process and provides a track record as the project develops.
It is recommended that you add a justification even if you have indicated there is no impact, as this will show the reviewer/decision makers how you came to that conclusion. </t>
    </r>
  </si>
  <si>
    <t xml:space="preserve">How will this proposal affect safety and/or influence crime rates. Consider:
• factors affecting sense of safety (e.g. lighting, vandalism, ‘eyes on the street’)
• the real risk of harm to individuals (e.g. traffic accidents, cyber crime, domestic abuse)
• the likelihood of someone committing a crime (e.g. reducing alcohol or drug dependency, CCTV)
</t>
  </si>
  <si>
    <t xml:space="preserve">Do any of the following describe your proposal? </t>
  </si>
  <si>
    <t xml:space="preserve">Implementation of the proposal without delay is necessary to protect life or national security. </t>
  </si>
  <si>
    <t xml:space="preserve">The proposal is for a feasibility study and the climate change duties are incorporated into the feasibility criteria. </t>
  </si>
  <si>
    <t>EXCEPTIONS</t>
  </si>
  <si>
    <t>THRESHOLDS</t>
  </si>
  <si>
    <t>Not sure?</t>
  </si>
  <si>
    <t xml:space="preserve">Not sure? </t>
  </si>
  <si>
    <t xml:space="preserve">How will this proposal impact the level of pollutants in the air? Consider:
• Outdoor air pollution (e.g. exhaust fumes, particles from brake/tyre erosion, burning fuels, industrial activity)
• Indoor air quality (e.g. mould, damp, gases/chemicals from building materials, cooking emissions, fuel use)
</t>
  </si>
  <si>
    <t xml:space="preserve">How will this proposal impact plants, animals and microorganisms? Consider impacts on:
• habitats (e.g. forest, grassland, wetland, marine, ponds, hedges/verges, living walls/roofs, gardens)
• key species (e.g.  planning work to avoid wildlife at key times, checks/surveys for wildlife)
• protected sites (National Nature Reserves, Marine Nature Reserves, Areas of Special Scientific Interest etc.) 
• land management practices 
• soil, watercourse and marine health (e.g. pollutants) (see also section 6 below)
</t>
  </si>
  <si>
    <t xml:space="preserve">How will the proposal impact our ability to withstand future climate change impacts, such as heat waves, cold, drought, flooding, and water shortages?
Climate change adaptation includes :
• physical infrastructure (e.g. flood defences, shading) 
• natural measures (e.g. green roofs and reforestation) 
• financial support (e.g. housing retrofit) and behaviour change (e.g. conserving water or energy)
</t>
  </si>
  <si>
    <t xml:space="preserve">What impact will this proposal have on the total amount of energy needed? This includes the energy needed to heat homes and buildings, and power machinery, vehicles, appliances or equipment. 
Consider:
• building design (e.g. insulation, shading, natural light)
• energy efficiency (e.g. efficient appliances, LEDs, switching to heat pumps) 
• shorter in-use hours (e.g. shorter travel time, scheduled heating)
• behaviour changes (e.g. turning off lights, computers, taps)
• digital storage needs and options
</t>
  </si>
  <si>
    <t xml:space="preserve">How will this proposal impact the availability and quality of educational opportunities? 
Consider: 
• schools, one-off events, volunteering, adult skills courses
• the quality of the learning being offered (e.g. duration, opportunities resulting from it)
• how accessible it is (e.g. costs, timing, or location)
• preparing people for a net zero future (e.g. low carbon technology skills, understanding of climate change and impacts)
</t>
  </si>
  <si>
    <t xml:space="preserve">How will this proposal impact availability of and access to quality housing and affordable homes? 
Consider:
• Poor housing issues (e.g. damp, cold, mould, overcrowding, needing repairs, high energy use)
• Indirect impacts (e.g. housing affordability and prices) 
• Support for those who are homeless or at risk of homelessness
• Ensuring housing is fit for a net zero future (e.g. low carbon heating, energy efficiency) 
</t>
  </si>
  <si>
    <t xml:space="preserve">How will this proposal support people to live a healthy life and benefit physical and mental health? 
Consider:
• access to physical and mental health services (eg. doctors, specialists, addiction support, counselling) 
• access to activies that supports physical and mental health (e.g. exercise, time in nature)
• access to trustworthy information that supports physical and mental health
• service that improve/respond to health and wellbeing risks from the impacts of climate change
</t>
  </si>
  <si>
    <t>What impact will this proposal have on the social and cultural resources of our communities? 
Consider: 
• provision of/access to services
• supporting residents or local groups (e.g. events, opportunities to meet and develop networks)
• support for/access to the arts, sports and cultural activities (e.g. museums, galleries, libraries, leisure)
• enabling community climate action and sustainability projects 
• Manx and other minority languages</t>
  </si>
  <si>
    <t>How will this proposal support livelihoods, create jobs and provide services to the Island?
Consider:
• ensuring that opportunities support a new zero future
• areas for employment (e.g. new facilities, services or businesses)
• services that support economic activity (e.g. business mentoring, unemployment support)
• new opportunities (e.g. tourism, apprenticeships or training)
• quality of employment (e.g. living wage, permanent contracts), and procurement</t>
  </si>
  <si>
    <t xml:space="preserve">How will this proposal support access to healthy and affordable food? 
Consider:
• food security/access 
       • physical access (e.g. distances/routes to places people get food, types of foods available, supply chains)
       • financial access (i.e. whether food is affordable to people)
</t>
  </si>
  <si>
    <t>Get more help</t>
  </si>
  <si>
    <t>How will this proposal support a transition from unsustainable transport (such as private petrol/diesel vehicles) to sustainable (low emission, healthy) alternatives? Consider:
• Active travel (e.g. walking, cycling)
• Public transport (e.g. buses)
• Electric vehicles
• Vehicles and infrastructure (e.g. charging points, bike racks, cycle lanes, pedestrian crossings)</t>
  </si>
  <si>
    <t>Justification/Explanation</t>
  </si>
  <si>
    <t>NOTES FOR THE REVIEWER</t>
  </si>
  <si>
    <t>Name of Department/public body</t>
  </si>
  <si>
    <t>Name of section/division/team/directorate (as applicable)</t>
  </si>
  <si>
    <t>Title (What is being assessed?)</t>
  </si>
  <si>
    <t>Reviewer comments</t>
  </si>
  <si>
    <t>Department/public body</t>
  </si>
  <si>
    <t>Section/division/team/
directorate</t>
  </si>
  <si>
    <t>FULL ASSESSMENT</t>
  </si>
  <si>
    <t>SCREENING RESULTS</t>
  </si>
  <si>
    <t>Threshold blanks</t>
  </si>
  <si>
    <t>Threshold No</t>
  </si>
  <si>
    <t>Threshold Yes</t>
  </si>
  <si>
    <r>
      <t xml:space="preserve">If 'No CIA required' </t>
    </r>
    <r>
      <rPr>
        <b/>
        <u/>
        <sz val="12"/>
        <color rgb="FFC00000"/>
        <rFont val="Calibri"/>
        <family val="2"/>
        <scheme val="minor"/>
      </rPr>
      <t>do not</t>
    </r>
    <r>
      <rPr>
        <sz val="12"/>
        <color rgb="FFC00000"/>
        <rFont val="Calibri"/>
        <family val="2"/>
        <scheme val="minor"/>
      </rPr>
      <t xml:space="preserve"> complete the questions below. </t>
    </r>
  </si>
  <si>
    <t>Exceptions No</t>
  </si>
  <si>
    <t>Exceptions Yes</t>
  </si>
  <si>
    <t>Exceptions blanks</t>
  </si>
  <si>
    <t>Guidance - how to use and complete this page (hover cursor over this cell)</t>
  </si>
  <si>
    <t xml:space="preserve">Scores </t>
  </si>
  <si>
    <t>4 to 8</t>
  </si>
  <si>
    <t xml:space="preserve">Not applicable/No Impact </t>
  </si>
  <si>
    <t>Minus 4 to minus 8</t>
  </si>
  <si>
    <t>1 to 3</t>
  </si>
  <si>
    <t xml:space="preserve">Slight and/or short term positive impacts identified </t>
  </si>
  <si>
    <t>Minus 1 to minus 3</t>
  </si>
  <si>
    <r>
      <t xml:space="preserve">How will this proposal impact the quantity/types of waste produced in the Isle of Man? 
Waste includes anything which will need to be disposed of e.g. because it has reached the end of its useful life, there is a surplus, or it goes ‘out of date’ including products, materials, food, clothing, office supplies, medicines, chemicals, etc. Also consider waste water – whether used (e.g. in toilets and sinks) or wasted (e.g. improper/unnecessary use, leaks) 
Always consider the waste hierarchy (in this order): </t>
    </r>
    <r>
      <rPr>
        <b/>
        <sz val="11"/>
        <color theme="1"/>
        <rFont val="Calibri"/>
        <family val="2"/>
        <scheme val="minor"/>
      </rPr>
      <t xml:space="preserve">Prevent – Reduce – Reuse – Recycle – Recover – Dispose </t>
    </r>
    <r>
      <rPr>
        <sz val="11"/>
        <color theme="1"/>
        <rFont val="Calibri"/>
        <family val="2"/>
        <scheme val="minor"/>
      </rPr>
      <t xml:space="preserve">
This section links closely with 9. Sustainable Materials, above. 
</t>
    </r>
  </si>
  <si>
    <t xml:space="preserve">How will this project impact the built community in relation to health, wellbeing and sense of place of local communities? 
Consider:  
• links to other places (e.g. cycle paths, roads, bus stops) 
• green spaces (e.g. parks, trees, gardens)
• spaces to meet (e.g. parks, community halls, allotments)
• enabling community climate action and sustainability through the built environment </t>
  </si>
  <si>
    <r>
      <t xml:space="preserve">How will this proposal ensure fair and just treatment of all members of the community? 
Consider whether this project/policy will have an impact on </t>
    </r>
    <r>
      <rPr>
        <b/>
        <sz val="11"/>
        <color theme="1"/>
        <rFont val="Calibri"/>
        <family val="2"/>
        <scheme val="minor"/>
      </rPr>
      <t>any</t>
    </r>
    <r>
      <rPr>
        <sz val="11"/>
        <color theme="1"/>
        <rFont val="Calibri"/>
        <family val="2"/>
        <scheme val="minor"/>
      </rPr>
      <t xml:space="preserve"> group. 
For example, consider: 
• age   • race   • religion   • disability   • pregnancy/maternity   • gender   • sex   • sexual orientation    
• poverty/income  • educational background   • geographical location • language  
• dependents/caring responsibilities • access to technology •  available time 
• working situation/employment • cultural practices/restrictions
</t>
    </r>
  </si>
  <si>
    <t xml:space="preserve">The Reviewer is the person who would normally check your papers/bundle of documents before it is submitted to the Decision Maker/s. This is usually a manager. 
The Reviewer should check that they are satisfied with the content of the Summary Report (this) page. 
Check that the scoring and justifications/explanations appear reasonable and comprehensive. 
Consider whether mitigations have been included or, if not, it has been explained why they are not possible/appropriate.  
If you are content, select 'Accepted' in the 'Reviewed' column. 
If not, select 'Rejected' or 'Queried' in the 'Reviewed' column and return the assessment to the responsible officer to update. 
The assessment should  not be submitted to the Decision Maker until all criteria are marked 'Accepted' by the Reviewer. </t>
  </si>
  <si>
    <t>NOTES FOR DECISION MAKER/S</t>
  </si>
  <si>
    <t>CLIMATE IMPACT ASSESSMENT: RESULTS TABLE</t>
  </si>
  <si>
    <t>Printing is set up to ONLY print the Summary Report page. You do not usually need to print the whole document; however, if you need to print other sections of the document
Go to File -&gt; Print -&gt; Settings -&gt; Change 'Only print active sheet' and select the pages you wish to print.</t>
  </si>
  <si>
    <t xml:space="preserve">INFORMATION ABOUT PRINTING
This information is not included in the print area, so will not appear on the printed document.  
When you are ready to submit to the Decision Maker, print this page as a PDF. It should automatically fit on a single A3 sheet. If your justifications/explanations are lengthy, it may reduce the size of the text when printed - if this occurs and you want to change it go to File -&gt; Print -&gt; Settings -&gt; Bottom button, change from 'Fit sheet on one page' to 'Fit all columns on one page'. </t>
  </si>
  <si>
    <t xml:space="preserve">Has the person or body responsible for approving your proposal requested a Climate Impact Assessment? </t>
  </si>
  <si>
    <t>Justification/Mitigation/Explanation</t>
  </si>
  <si>
    <t>Result - Thresholds Table</t>
  </si>
  <si>
    <t xml:space="preserve">Result - Exceptions table </t>
  </si>
  <si>
    <t>Implementation of the proposal without delay is necessary for the safeguarding or protection of children or vulnerable adults.</t>
  </si>
  <si>
    <t>Reviewer Next Step</t>
  </si>
  <si>
    <t>Env Blanks</t>
  </si>
  <si>
    <t>Social Blanks</t>
  </si>
  <si>
    <t>Env Queries</t>
  </si>
  <si>
    <t xml:space="preserve">Social Queries </t>
  </si>
  <si>
    <t>Env Rejects</t>
  </si>
  <si>
    <t xml:space="preserve">Social Rejects </t>
  </si>
  <si>
    <t>Env Accepts</t>
  </si>
  <si>
    <t xml:space="preserve">Social Accepts </t>
  </si>
  <si>
    <t>Total blanks</t>
  </si>
  <si>
    <t xml:space="preserve">Total queries </t>
  </si>
  <si>
    <t xml:space="preserve">Total rejects </t>
  </si>
  <si>
    <t>Total accepts</t>
  </si>
  <si>
    <t xml:space="preserve">Outcome: </t>
  </si>
  <si>
    <t xml:space="preserve">RESULT OF RFEVIEW: </t>
  </si>
  <si>
    <t xml:space="preserve">Result - Summary Report </t>
  </si>
  <si>
    <t xml:space="preserve">If a CIA has been completed, the impact wheel and results table will be populated. 
Even if a CIA is not required, if one has been completed, it must be taken into account. </t>
  </si>
  <si>
    <r>
      <rPr>
        <b/>
        <sz val="12"/>
        <color theme="1"/>
        <rFont val="Calibri"/>
        <family val="2"/>
        <scheme val="minor"/>
      </rPr>
      <t>DISCRETION</t>
    </r>
    <r>
      <rPr>
        <sz val="12"/>
        <color theme="1"/>
        <rFont val="Calibri"/>
        <family val="2"/>
        <scheme val="minor"/>
      </rPr>
      <t xml:space="preserve">
Where a CIA is required, but has not been completed, you </t>
    </r>
    <r>
      <rPr>
        <b/>
        <u/>
        <sz val="12"/>
        <color theme="1"/>
        <rFont val="Calibri"/>
        <family val="2"/>
        <scheme val="minor"/>
      </rPr>
      <t>must</t>
    </r>
    <r>
      <rPr>
        <sz val="12"/>
        <color theme="1"/>
        <rFont val="Calibri"/>
        <family val="2"/>
        <scheme val="minor"/>
      </rPr>
      <t xml:space="preserve"> record the reason why. </t>
    </r>
  </si>
  <si>
    <t xml:space="preserve">CLIMATE IMPACT </t>
  </si>
  <si>
    <t xml:space="preserve">Name of Reviewer: </t>
  </si>
  <si>
    <t>&gt;&gt;ENTER REVIEWER NAME HERE&lt;&lt;</t>
  </si>
  <si>
    <t>CLIMATE IMPACT ASSESSMENT TOOL</t>
  </si>
  <si>
    <t xml:space="preserve">In certain circumstances, completing a CIA is a legal requirement. To find out whether you must complete a CIA, first complete the 'CIA-Screening' tab.  </t>
  </si>
  <si>
    <t xml:space="preserve">You may complete a CIA for any proposal, if you think that it would be useful. </t>
  </si>
  <si>
    <t>The CIA should be completed in a group.</t>
  </si>
  <si>
    <t xml:space="preserve">The guidance also provides contact details for specialist teams around government would will be able to help you if you are not sure about the impacts in a certain area. </t>
  </si>
  <si>
    <t xml:space="preserve">If you are still not sure after accessing the in-tool guidance and the User Guide, please contact publicbodiesclimate@gov.im </t>
  </si>
  <si>
    <t xml:space="preserve">This is the Climate Impact Assessment (CIA) Tool. It has been designed to support compliance with the Climate Change Act 2021, specifically the climate change duties for public bodies, which are: </t>
  </si>
  <si>
    <t xml:space="preserve">(1) A public body, in performing its duties, must act in the way that it considers best to contribute to —
</t>
  </si>
  <si>
    <t>(a)</t>
  </si>
  <si>
    <t>(b)</t>
  </si>
  <si>
    <t>(d)</t>
  </si>
  <si>
    <t>sustainable development, including the achievement of the United Nations sustainable development goals; and</t>
  </si>
  <si>
    <t>To find out more about any of the climate change duties for public bodies, please visit www.netzero.im/publicbodies</t>
  </si>
  <si>
    <t xml:space="preserve">The CIA User Guide can be found here. </t>
  </si>
  <si>
    <t xml:space="preserve">Once you have completed the CIA, it should be reviewed by your manager (or whoever is reviewing the package of papers relating to your proposal before submission to the decision maker). </t>
  </si>
  <si>
    <t>Once all criteria have been marked accepted by the Reviewer, the CIA can be submitted to the Decision Maker. To do this, print the Summary Report page as a pdf and include it with the rest of the documents relating to your proposal.</t>
  </si>
  <si>
    <t xml:space="preserve">Regulation 5(1)(c) allows a public body not to prepare a Climate Impact Assessment, even where one or more of the above thresholds are met, where that public body considers the proposal has no relevance to, or impact on, the compliance by the public body with section 21 (climate change duties of public bodies) of the Act. </t>
  </si>
  <si>
    <t xml:space="preserve">Significant and/or long term positive impacts identified </t>
  </si>
  <si>
    <t xml:space="preserve">Greenhouse Gases </t>
  </si>
  <si>
    <t xml:space="preserve">Get more help </t>
  </si>
  <si>
    <t>GHGs are causing climate change which presents many significant risks to life, livelihoods, health and wellbeing. 
Public bodies have a legal obligation to contribute toward meeting national emissions reduction targets 
Climate Change Act 2021, Section 21(a) and (b)</t>
  </si>
  <si>
    <r>
      <rPr>
        <b/>
        <i/>
        <sz val="11"/>
        <color theme="5"/>
        <rFont val="Calibri"/>
        <family val="2"/>
        <scheme val="minor"/>
      </rPr>
      <t xml:space="preserve">Note: </t>
    </r>
    <r>
      <rPr>
        <i/>
        <sz val="11"/>
        <color theme="5"/>
        <rFont val="Calibri"/>
        <family val="2"/>
        <scheme val="minor"/>
      </rPr>
      <t xml:space="preserve">
If you have any </t>
    </r>
    <r>
      <rPr>
        <b/>
        <i/>
        <sz val="11"/>
        <color theme="5"/>
        <rFont val="Calibri"/>
        <family val="2"/>
        <scheme val="minor"/>
      </rPr>
      <t>problems with viewing the guidance</t>
    </r>
    <r>
      <rPr>
        <i/>
        <sz val="11"/>
        <color theme="5"/>
        <rFont val="Calibri"/>
        <family val="2"/>
        <scheme val="minor"/>
      </rPr>
      <t xml:space="preserve"> by hovering over the red triangles, you can access the same text, in full on the 'Guidance' tab. </t>
    </r>
  </si>
  <si>
    <t xml:space="preserve">Land Use Change </t>
  </si>
  <si>
    <t xml:space="preserve">Soil, Watercourse and Marine Health </t>
  </si>
  <si>
    <t xml:space="preserve">Food </t>
  </si>
  <si>
    <t>Health and Wellbeing</t>
  </si>
  <si>
    <t xml:space="preserve">Education </t>
  </si>
  <si>
    <t>Safety and Crime</t>
  </si>
  <si>
    <t xml:space="preserve">The greenhouse gases are: 
(a)  carbon dioxide, primarily released when fossil fuels (coal, gas, oil) are burnt
(b)  methane, primarily released by livestock and waste processes
(c) nitrous oxide, primarily from fertilisers
(d) hydrofluorocarbons, perfluorocarbons, sulphur hexafluoride and nitrogen trifluoride, produced by refrigeration and air-conditioning processes. 
High levels of these gases have led to the greenhouse effect, causing average temperatures to rise and the climate to change.
</t>
  </si>
  <si>
    <t xml:space="preserve">Air quality is important for public health. It significantly impacts people's lives and lifespans.
Reducing pollution to improve air quality can save lives, protect our NHS, and improve our communities.
Some air pollutants are also GHGs.
</t>
  </si>
  <si>
    <t xml:space="preserve">Air quality means the level of pollutants in the air, such as particulate matter, carbon monoxide, ozone, nitrogen dioxide and sulphur dioxide.
Traffic, building heating, construction and industrial processes can all lead to increased levels of air pollutants, which have a negative impact on health. </t>
  </si>
  <si>
    <t xml:space="preserve">Biodiversity </t>
  </si>
  <si>
    <t xml:space="preserve">Sustainable Transport </t>
  </si>
  <si>
    <t xml:space="preserve">Housing </t>
  </si>
  <si>
    <t xml:space="preserve">Health and Wellbeing </t>
  </si>
  <si>
    <t xml:space="preserve">Built Community </t>
  </si>
  <si>
    <t xml:space="preserve">Safety and Crime </t>
  </si>
  <si>
    <t xml:space="preserve">Democratic Voice </t>
  </si>
  <si>
    <t xml:space="preserve">Accessibility </t>
  </si>
  <si>
    <t xml:space="preserve">Equity </t>
  </si>
  <si>
    <t xml:space="preserve">SOCIAL </t>
  </si>
  <si>
    <t>&gt;&gt;&gt;&gt;&gt; JUMP BACK TO TOP - CLICK HERE &lt;&lt;&lt;&lt;&lt;</t>
  </si>
  <si>
    <t>GUIDANCE - FULL WORDING</t>
  </si>
  <si>
    <r>
      <t xml:space="preserve">Some examples of proposals likely to </t>
    </r>
    <r>
      <rPr>
        <b/>
        <sz val="11"/>
        <color theme="1"/>
        <rFont val="Calibri"/>
        <family val="2"/>
        <scheme val="minor"/>
      </rPr>
      <t>reduce</t>
    </r>
    <r>
      <rPr>
        <sz val="11"/>
        <color theme="1"/>
        <rFont val="Calibri"/>
        <family val="2"/>
        <scheme val="minor"/>
      </rPr>
      <t xml:space="preserve"> GHG emissions:  
• Policies that make low carbon choices easier or cheaper 
• Improving insulation in buildings   
• Replacing gas/oil boilers with air-source heat pumps 
• Reducing the amount of waste produced 
• Encouraging public transport, walking, cycling  
• Reducing use of petrol or diesel vehicles
</t>
    </r>
  </si>
  <si>
    <r>
      <t xml:space="preserve">Some examples of proposals likely to </t>
    </r>
    <r>
      <rPr>
        <b/>
        <sz val="11"/>
        <color theme="1"/>
        <rFont val="Calibri"/>
        <family val="2"/>
        <scheme val="minor"/>
      </rPr>
      <t>increase</t>
    </r>
    <r>
      <rPr>
        <sz val="11"/>
        <color theme="1"/>
        <rFont val="Calibri"/>
        <family val="2"/>
        <scheme val="minor"/>
      </rPr>
      <t xml:space="preserve"> GHG emissions:
• Policies that make low carbon choices more difficult or expensive 
• Construction
• Relocation of a service (if further away from users)
• Increases in digital storage needs
• Increase in energy use 
• Replacing grassland/woodland with agriculture or settlement</t>
    </r>
  </si>
  <si>
    <t xml:space="preserve">Possible mitigations: Low carbon technology, route planning, energy efficiencies, targeted support schemes. </t>
  </si>
  <si>
    <t>Some examples of proposals likely to increase air pollutants:
• Policies which make non-fossil fuel travel or heating more difficult or expensive. 
• Policies which make fossil fuel travel or heating easier or more affordable. 
• Increasing standing (idling) traffic
• New industrial or construction sites</t>
  </si>
  <si>
    <t xml:space="preserve">Some example of proposals likely to reduce air pollutants: 
• Policies which make low emission travel or heating easier or more affordable. 
• Removing or reducing the use of fossil fuel heating (particularly coal, peat and wood) 
• Reducing use of petrol or diesel vehicles 
• Improving ventilation in buildings (indoor air pollution) </t>
  </si>
  <si>
    <t xml:space="preserve">Possible mitigations: Use of or measures to encourage the use of alternative technologies/fuels, route/location changes, filters, fabric changes to buildings, targeted support schemes. </t>
  </si>
  <si>
    <t xml:space="preserve">Access the CIA User Guide and lots of other climate change resources by visiting netzero.im/publicbodies or contact publicbodiesclimate@gov.im 
Alternatively, please contact the Environmental Protection Unit, part of DEFA, environmentalprotection@gov.im or call 685885.
</t>
  </si>
  <si>
    <t xml:space="preserve">Access the CIA User Guide and lots of other climate change resources by visiting netzero.im/publicbodies or contact publicbodiesclimate@gov.im
</t>
  </si>
  <si>
    <r>
      <t xml:space="preserve">JUMP TO GUIDANCE - CLICK LINK </t>
    </r>
    <r>
      <rPr>
        <b/>
        <sz val="11"/>
        <color theme="5"/>
        <rFont val="Wingdings 3"/>
        <family val="1"/>
        <charset val="2"/>
      </rPr>
      <t>Ü</t>
    </r>
  </si>
  <si>
    <t>Sustainable transport is an essential part of our Island's transition to net zero and supports the public body climate change duties.</t>
  </si>
  <si>
    <t xml:space="preserve">Some example of proposals likely to not support sustainable transport 
• Closing cycle paths 
• Reducing public transport options or making them more expensive
• New fossil fuel vehicles
• Improving access to car parks
</t>
  </si>
  <si>
    <t>Possible mitigations: Location/route changes to make service more accessible, alternative vehicles, pricing to encourage uptake of sustainable options.</t>
  </si>
  <si>
    <t xml:space="preserve">Some example of proposals likely to support sustainable transport 
• Moving services closer to communities 
• Increasing public transport options or reducing their cost  
• Improving cycling and walking infrastructure or road safety
</t>
  </si>
  <si>
    <t xml:space="preserve">Access the CIA User Guide and lots of other climate change resources by visiting netzero.im/publicbodies or contact publicbodiesclimate@gov.im 
We will help or find someone who can. 
</t>
  </si>
  <si>
    <t xml:space="preserve">Land plays an essential role in our transition to net zero. 
It can remove carbon from the atmosphere and store it. 
How we use our land is also extremely important for our economy and the health and wellbeing of people, plants, animals and ecosystems.
</t>
  </si>
  <si>
    <t xml:space="preserve">Land use change is the process where human activities change the size and/or purpose of a piece of land, including how the land is managed. 
Key impacts are: water quality; availability of water resources; management of flood risk; storage of carbon in soil; habitats for species; and availability of green open space for communities. 
Also consider whether the change in land use or management is permanent or reversible when selecting the level of impact.
</t>
  </si>
  <si>
    <t xml:space="preserve">Examples of proposals likely to have positive impacts 
• Conservation of carbon sinks and habitats
• Flood management and sustainable drainage 
• Maximising carbon sequestration and biodiversity by design 
• Increasing green space 
• Ensuring a land management plan is in place 
</t>
  </si>
  <si>
    <t xml:space="preserve">Examples of proposals likely to have negative impacts
• Removal of natural flood defences 
• Destruction/damage to carbon sinks and habitats
• Non-permeable ground coverings
• Loss of green space 
</t>
  </si>
  <si>
    <t xml:space="preserve">Access the CIA User Guide and lots of other climate change resources by visiting netzero.im/publicbodies or contact publicbodiesclimate@gov.im 
We will help or find someone who can. 
If your query relates to habitats, biodiversity or ecosystems - contact the Ecosystem Policy Team on 651577 or ecopolicy@gov.im
</t>
  </si>
  <si>
    <t xml:space="preserve">Climate change duty (e) requires public bodies to support the protection and enhancement of biodiversity, ecosystems and ecosystem services.
Humans rely on biodiversity and ecosystems for life - things like pollination, clean water and healthy soil (these are known as 'ecosystem services')
Actions which support biodiversity can also increase the storage of carbon, removing it from the atmosphere. 
Healthy ecosystems also help us to adapt to the changing climate.
</t>
  </si>
  <si>
    <t xml:space="preserve">Biodiversity is the variety of plants, animals and fungi in the world or a particular habitat. 
An ecosystem is a community of plants, animals and fungi and their physical environment interacting together.
Ecosystem services are the positive benefits that biodiversity or ecosystems provide to people.
</t>
  </si>
  <si>
    <t xml:space="preserve">Examples of proposals likely to have positive impacts on biodiversity 
• Removing concrete to expose soil 
• Tree or seed planting 
• Sustainable Urban Drainage Systems 
• Nature based solutions such as peatland or wetland restoration 
</t>
  </si>
  <si>
    <t xml:space="preserve">Examples of proposals likely to have negative impacts on biodiversity
• Covering/replacing soil or grass with tarmac, astro-turf etc. 
• Building houses on greenfield sites
• Removing woodland
• Changing lighting levels at night
• Increasing vehicle traffic levels
• Activities that will generate litter or a lot of noise (e.g. a festival or outdoor event)
• Pesticide, weedkiller and fertiliser use
</t>
  </si>
  <si>
    <t>Possible mitigations: location choices, wildlife surveys, avoiding activities during sensitive times for wildlife, nature corridors, planting and preservation choices by design, habitat protection, bins, noise/light controls</t>
  </si>
  <si>
    <t xml:space="preserve">Healthy soils, watercourses and marine environment are important carbon sinks i.e. they absorb and store carbon, reducing the amount in the atmosphere. 
They are also very important for biodiversity and the health of people, plants, animals and ecosystems.
</t>
  </si>
  <si>
    <t xml:space="preserve">Soil, watercourse and marine health is about the impact your proposal might have on the plants, animals, fungi and micro-organisms. 
Impacts can be direct (e.g. a new development being built on natural land, converting fields to grassland or putting up bird and bat boxes) or indirect (e.g. increased noise and light pollution, rubbish being left behind after an outdoor event, or fertiliser run-off into rivers). 
It is important to note that this assessment does not take the place of an Environmental Impact Assessment which may be required as part of the Planning process.
</t>
  </si>
  <si>
    <t xml:space="preserve">Some examples of proposals likely to have positive impacts on soil, watercourse and marine health. 
• Wildflower meadows                                                  
• Adding bird/bat boxes or creating ponds         
• Litter picking/reduction and correct disposal of waste      
• Creating hedgerows or planting trees         
• Restoring, protecting and enhancing existing habitats      
• Sustainable drainage    
</t>
  </si>
  <si>
    <t xml:space="preserve">MORE INFORMATION
For agricultural land, healthy soil is achieved through the correct application of nutrients such as nitrates and phosphates, alongside soil testing. In a balanced system, nitrates and phosphates enrich the soil and the health of life which grows from or in it, but many human activities unbalance the system by changing concentrations. This causes problems for plant growth and water retention in soil, harms aquatic life, can reduce crop yield and increase flood risk. 
Where land is being stripped for development consideration on the impact of surface water run-off needs to be reviewed prior to commencing any activity on the land. Insufficient consideration can cause sediment run off which will negatively impact on the health of watercourses and the ecology within. Appropriate settlement ponds and sediment barriers and filters may be required to protect a watercourse during the development. Riparian land (such as river/stream banks and adjacent wetlands) should be left undisturbed as it provides a buffer between watercourses and developments.
Where machinery is being operated within or near to a watercourse appropriate spill kits should be on site in the event an issue arises. Machinery must use biodegradable oil. Investigations into ensuring the appropriate permissions are acquired prior to commencing work is necessary to protect the watercourses and ecology. 
During the summer months protecting watercourses is very important as reduce flow rates tend to be observed. With reduce flow rates the impacts that pollutants can have on the receiving watercourse is amplified due to less dilution. 
Possible mitigations: Sustainable drainage by design, reduction of/avoiding chemical use, practices which limit soil disturbance, soil testing, spill kits, biodegradable oil in machines, avoid work in summer months.
</t>
  </si>
  <si>
    <t xml:space="preserve">Climate Change Transformation Team at publicbodiesclimate@gov.im 
Re: Impacts on life in water or land: Ecosystem Policy Team at ecopolicy@gov.im / 651557
For further information or to report an issue in a watercourse please contact the Environmental Protection Unit on 01624 685885 or email environmentalprotection@gov.im. 
If the project involves working in or within 8m of a watercourse please contact Inland Fisheries on 01624 685857 or email fisheries@gov.im for further information. 
</t>
  </si>
  <si>
    <t xml:space="preserve">Our climate is changing and this comes with risks. 
We need to make sure that the decisions we make now take this into account and prepare us well for the future. 
Failing to take the changing climate into account could result in avoidable costs and negative impacts on livelihoods, health and wellbeing.
</t>
  </si>
  <si>
    <t>A proposal can encourage maladaptation if it does not consider future climate impacts or increases future risk of climate impacts (e.g. a new highly-glazed, energy intensive building risks occupants overheating, or building on flood plains).</t>
  </si>
  <si>
    <t xml:space="preserve">Some examples of proposals likely to have positive impacts on adaptation
• Flood defences
• Artificial and natural shading
• Natural flood management (SuDS and trees)
• Financial support, grants, or loans for EVs, retrofit, energy efficiency, walking and cycling etc.
• Educational opportunities and awareness campaigns e.g. Carbon literacy training
• Insulating or retrofitting buildings, energy efficiency measures
• Proposals which take account of adaptation in the development phase
</t>
  </si>
  <si>
    <t xml:space="preserve">Some examples of proposals likely to have negative impacts on adaptation
• New fossil fuel heating (gas boilers, oil boilers)
• Infrastructure on flood plains
• Increasing energy demand (heating or electricity)
• Removal of natural cooling (e.g. shading trees)
</t>
  </si>
  <si>
    <t>Possible mitigations: Flood defences, location choices, preservation of trees, assess potential threats in detail and create resilience by design, provide support for those least able to adapt, add awareness/educational measures to your proposal</t>
  </si>
  <si>
    <t xml:space="preserve">At the moment, the Island’s electricity supply is mostly generated by burning fossil fuels. This means that energy demand contributes to GHG emissions, which contribute to climate change. 
Reducing energy demand not only reduces emissions but costs as well, so it is essential that public bodies minimise their energy use encourage/enable others to do the same. 
</t>
  </si>
  <si>
    <t xml:space="preserve">This section is about the impact your proposal will have on the total amount of energy needed and used.
Reducing our energy demand is an important step towards meeting our climate targets and includes the energy to heat homes and buildings, power machinery and vehicles, and use appliances or equipment.
Electricity from our national network is currently produced using fossil fuels. If your proposal will use only renewable energy, you can select 'not applicable/no impact' and make a note of why in d. so that the person reviewing the assessment understands. 
Some increase in electricity use is expected as we transition our heating and transport away from fossil fuels. If your proposal relates to switching from fossil fuels to electric technologies, make a note of that in d. so that the person reviewing the assessment understand the context of the increased energy demand. 
Energy includes use of other fuels, such as petrol and diesel, for heating, transport, and equipment. 
</t>
  </si>
  <si>
    <t xml:space="preserve">Likely to reduce energy use: 
• Installing LED lighting 
• Behaviour change campaigns/information 
• Renewable energy generation 
• Choosing more efficient appliances/machinery
• Improving insulation of buildings 
</t>
  </si>
  <si>
    <t xml:space="preserve">Likely to increase energy use:
• Opening a new service or increasing opening hours
• New or increased industrial/business processes
• Using buildings or appliances with poor energy efficiency  
• Increasing fuel use 
• Increasing digital storage needs
</t>
  </si>
  <si>
    <t xml:space="preserve">The materials we use have a carbon footprint and an impact on people and ecosystems.
It is therefore important to consider using sustainable and ethical materials where possible. 
This helps to support sustainable economies, emissions reduction, climate justice, sustainable development and the protection and enhancement of biodiversity, ecosystems and ecosystem services
</t>
  </si>
  <si>
    <t xml:space="preserve">This section relates to the environmental and social sustainability of materials. 
The materials we use have impacts on the environment and on people throughout their life cycle.
It can be difficult to determine the life cycle impact of a material, because often suppliers and manufacturers do not share or do not know all of the preceding steps in their supply chains. However, it is important to consider the sustainability of the materials and products we use. 
Very few raw materials are produced on the Isle of Man, so most goods and materials are imported. If you cannot find what you need locally, the UK and EU have similar standards for most goods/materials so sourcing from these countries makes checking sustainability easier (and reduces transport emissions compared with sourcing from further afield).
Consider whether you need to buy new or could chose a recycled, reused or repurposed product. 
If you need to buy new, consider where the resource is produced, manufactured and transported from and the practices of the companies involved. Look for relevant, recognised certifications such as ISO, FSC (for wood), B-Corporation, Cruelty Free, Fair Trade etc. 
Beware of greenwashing. 
</t>
  </si>
  <si>
    <t xml:space="preserve">Use of materials that are likely to be more sustainable: 
• Reused, repurposed or recycled products/materials  
• Products/materials which can be reused, repurposed or recycles at end of life
• Products with recognised sustainability or ethics related certifications (ISO, FSC, B-Corp, Fair Trade etc.)  
• Locally produced goods 
• Re-using materials 
• Regenerative, sustainably grown products/materials (e.g. fabrics, foods, wood etc.) 
</t>
  </si>
  <si>
    <t xml:space="preserve">Use of materials that are likely to be less sustainable: 
• Single-use products/non-recyclable products
• Hazardous materials/materials that generate hazardous waste at end of life
• Excessive use of concrete
• Materials made using fossil fuels, such as plastic
</t>
  </si>
  <si>
    <t>YOU SHOULD CHECK THAT THERE IS A SUITABLE DISPOSAL ROUTE FOR MATERIAL/TECHNOLOGIES TO BE USED, ESPECIALLY IF THEY ARE NOVEL (IE. NEW TO THE MARKET), NOT COMMONLY USED OR POTENTIALLY HAZARDOUS</t>
  </si>
  <si>
    <t xml:space="preserve">Access the CIA User Guide and lots of other climate change resources by visiting netzero.im/publicbodies or contact publicbodiesclimate@gov.im 
We will help or find someone who can. 
Alternatively, contact Environmental Protection Unit at environmentalprotection@gov.im  
</t>
  </si>
  <si>
    <t xml:space="preserve">Disposing of waste is a source of greenhouse gases - it is therefore important to considering how to design proposals in a way which minimises waste.
Disposal of waste can also negatively impact biodiversity, ecosystems and ecosystem services. 
If your proposal is going to produce unavoidable waste, consider how you will ensure that it is disposed of safely and in the most sustainable way.
</t>
  </si>
  <si>
    <t xml:space="preserve">Likely to reduce waste/have positive impacts:
• Leasing, renting, sharing, lending, borrowing an item if not using often 
• Improving recycling services
• Improving access to repair services
• Keeping products in use for as long as possible through proper cleaning, checking and maintenance
• Choosing products that are built to last or designed to be repaired (e.g. modular)  
• Choosing products which can be reused, repurposed, repaired, composted, 
• Ensuring the right disposal route is accessible to and understood (e.g. convenient collection bins, drop-off points or collection days, clear policies/instructions)
• Choosing products with an accredited certification from a reliable source e.g. compostable materials need a seedling logo with an accreditation number
</t>
  </si>
  <si>
    <t xml:space="preserve">Likely to increase waste/have negative impacts:
• Buying/producing more than you need 
• Purchasing single-use or poorly constructed products
• Unnecessary packaging 
• Demolishing a building
• Any process that generates hazardous waste
• Using products/materials for which there is no disposal route
</t>
  </si>
  <si>
    <t xml:space="preserve">Access the CIA User Guide and lots of other climate change resources by visiting netzero.im/publicbodies or contact publicbodiesclimate@gov.im 
We will help or find someone who can. 
Alternatively, contact Environmental Protection Unit at environmentalprotection@gov.im  or
the Department of Infrastructure Waste Team, see https://www.gov.im/about-the-government/departments/infrastructure/waste-management/ </t>
  </si>
  <si>
    <t xml:space="preserve">Access to healthy and affordable food is critical for health and social equity. 
Local food grown/produced in sustainable ways is key for the environment. 
Climate change presents risks to food supply chains and production. 
Food production contributes significantly to global GHG emissions so sustainable food is an important part of our transition to net zero and ensuring access to all is key to climate justice.  
Access to adequate food is a human right, under Article 25 of the Universal Declaration of Human Rights.
</t>
  </si>
  <si>
    <t xml:space="preserve">This section is about access to healthy and affordable food for a balanced diet that provides the energy and nutrients needed for health and wellbeing. 
Consider whether your proposal includes or is related to food e.g. production, growing, processing, transportation, marketing, selling, supplying, consuming. 
Consider: 
• Food sustainability (methods of production, transportation etc.) 
• Local food
• Food security – reliability, cost and accessibility of food supply and supply chains 
• Knowledge about food, healthy eating and food preparation 
• Food deserts, access to food banks/community fridges, redistribution of food. 
• The ability to grow one’s own food (e.g. access to allotments).
• Menus in schools, prisons and other public services. 
</t>
  </si>
  <si>
    <t xml:space="preserve">Some examples likely to have a positive impact/improve access in relation to food 
• Support for local food producers and businesses
• Promoting, subsidising, purchasing or supplying food that is healthy and sustainable 
• Subsidised meals/food support for vulnerable people e.g. children, low income households etc. 
• Education and awareness measures re: food, healthy eating and food preparation 
• Improving access to sources of food e.g. retailers, allotments, food banks, longer hours, closer/more locations etc. 
• Provision of options for vegetarians, vegans and other dietary needs and preferences 
</t>
  </si>
  <si>
    <t xml:space="preserve">Some examples likely to have a negative impact/impede access in relation to food 
• Increased food costs
• Increased costs/decreased support in other areas, leading to ‘heating or eating’ decisions for the most vulnerable. 
• Closures/relocations of places people get food
• Changing food production/agricultural land or allotments to urban development 
• Promoting, subsidising, purchasing or supplying food that is not healthy or not sustainable
</t>
  </si>
  <si>
    <t xml:space="preserve">Access the CIA User Guide and lots of other climate change resources by visiting netzero.im/publicbodies or contact publicbodiesclimate@gov.im 
We will help or find someone who can. 
Alternatively contact:  DEFA's Agriculture and Food Directorate: agriculture.policy@gov.im OR Cabinet Office - Public Health Team: publichealth@gov.im  
</t>
  </si>
  <si>
    <t xml:space="preserve">The health and wellbeing of our community is at the heart of everything we do as public bodies. 
The health of our economy relies on the health of our community. 
Climate change presents risks to health and wellbeing from severe weather (flooding, drought etc.), risks to food supply, damage to infrastructure etc. 
Access to services and activities which promote and support our physical and mental health and wellbeing is key to social equity and climate justice.
Access to a standard of living adequate for health well-being is a human right under Article 25 of the Universal Declaration of Human Rights. 
</t>
  </si>
  <si>
    <t xml:space="preserve">Consider how your proposal could impact people’s health and wellbeing. 
Consider the choices around healthy lifestyles, physical activity or social activity that your proposal may promote or enable.  
Factors impacting health include: access to services, quality of housing, air pollution, access to blue and green space or leisure spaces, social connection, access to healthy food, stress at work or at home. 
</t>
  </si>
  <si>
    <t xml:space="preserve">Examples likely to have positive impacts on health &amp; wellbeing: 
• Improving access to or quality of health, social care or support services 
• Improving living standards e.g. housing, food, reducing pollution etc. 
• Improving access to cycle infrastructure, green spaces etc. 
• Opening or improving access to a sports, exercise, arts or cultural venue
• Improving education around health choices, mental health etc. 
• Reducing social isolation 
</t>
  </si>
  <si>
    <t xml:space="preserve">Examples likely to have negative impacts on health &amp; wellbeing: 
• Reducing access to or quality of health, social care or support services 
• Closing community/health activity spaces e.g. sports, exercise, arts or cultural venues
• Persistent noise disturbances
• Increasing traffic
• Removing green spaces or features such as trees. 
</t>
  </si>
  <si>
    <t xml:space="preserve">Access the CIA User Guide and lots of other climate change resources by visiting netzero.im/publicbodies or contact publicbodiesclimate@gov.im 
We will help or find someone who can. 
Alternatively contact: Cabinet Office - Public Health Team: publichealth@gov.im
</t>
  </si>
  <si>
    <t xml:space="preserve">Poor housing impacts health and our environment. Access to healthy, affordable homes is key to the health and wellbeing of our community and is key to social equity and climate justice. 
Buildings are one of the largest sources of GHG emissions in the Isle of Man, through heating and energy use. Provision of sustainable housing is a critical part of our transition to net zero.
Access to adequate housing is a human right under Article 25 of the Universal Declaration of Human Rights.
</t>
  </si>
  <si>
    <t xml:space="preserve">This section is about the availability of and access to quality housing and affordable homes. 
Housing is a human right and is key to personal wellbeing. 
Quality housing reduces the risk of residents suffering from fuel poverty and other health issues. Poor housing includes issues like damp, cold or mould, overcrowding, needing repairs, and having a high energy use. 
Indirect impacts (e.g. how a development may affect housing affordability in the area) and support for those who are homeless or at risk of homelessness should also be considered here. 
</t>
  </si>
  <si>
    <t xml:space="preserve">Examples likely to have a positive impact on housing
• Improving housing quality and energy efficiency e.g. insulation, double glazing, draught proofing, ventilation
• Improving tenants’ rights and protections 
• Improving/enforcing/implementing minimum energy efficiency standards
• Energy bill support
• Support for first time buyers
• Improving access to/quality of social housing 
</t>
  </si>
  <si>
    <t xml:space="preserve">Examples likely to have a negative impact on housing 
• Increased house prices or rents, decreased availability 
• Increased cost of living
• Reducing rights for tenants
• Encouraging purchasing by non-residents leading to many unoccupied properties
• Loss of support services which help prevent homelessness
</t>
  </si>
  <si>
    <t xml:space="preserve">Access the CIA User Guide and lots of other climate change resources by visiting netzero.im/publicbodies or contact publicbodiesclimate@gov.im 
We will help or find someone who can.
</t>
  </si>
  <si>
    <t xml:space="preserve">Access to quality, affordable education is key to social equity and climate justice. 
Locally and globally the employment market is changing as a result of climate change impacts and measures to reduce emissions. It is essential that learning opportunities are available, accessible and affordable to support a just transition. 
Access to education is a human right, under Article 26 of the Universal Declaration of Human Rights.
</t>
  </si>
  <si>
    <t xml:space="preserve">Education refers to the availability and quality of educational opportunities in the area and includes lifelong learning. 
Consider how your proposal could impact access to and the quality of teaching and learning opportunities – both in and out of schools (inc. extracurricular educational activities). 
Factors to consider include different types of opportunity, the quality of the learning being offered (e.g. duration, opportunities resulting from it), and how accessible it is (e.g. costs, timing, or location). 
Supporting teachers, children and families is included here. 
</t>
  </si>
  <si>
    <t xml:space="preserve">Examples likely to have a positive impact on education 
• Opening a new school 
• Offering apprenticeships, training, volunteering opportunities etc. 
• Increasing benefits/support for schools, teachers, students, child care, after school learning opportunities, home schooling etc. 
• Educational events
• Improving awareness and provision of adult learning opportunities 
</t>
  </si>
  <si>
    <t xml:space="preserve">Examples likely to have a negative impact on education  
• Increasing costs for education providers
• Increasing the price of learning experiences
• New housing developments without adequate infrastructure
• Conditions leading to too many pupils or too few teachers in a school
• Reducing benefits/support for schools, teachers, students, child care, after school learning opportunities, home schooling etc. 
</t>
  </si>
  <si>
    <t xml:space="preserve">Access the CIA User Guide and lots of other climate change resources by visiting netzero.im/publicbodies or contact publicbodiesclimate@gov.im 
We will help or find someone who can. 
Alternatively, contact DESC or admin.desc@gov.im or 685808
</t>
  </si>
  <si>
    <t xml:space="preserve">The built environment has an important role in health, wellbeing, our communities and the way we live our lives. 
The built environment has the potential to support social equity and climate justice and to encourage low emission, sustainable behaviours. 
The built environment also needs to be designed or adapted to protect people from the impacts of our changing climate.
</t>
  </si>
  <si>
    <t xml:space="preserve">This section is about the impact your project/policy might have on the physical space which influences the health and wellbeing and sense of place in local communities. 
A well-designed community has good links to other places which can be accessed safely, green space (e.g. parks, trees, gardens), and spaces to meet (e.g. parks, community halls, allotments). Impacts affecting community could be either long-term or temporary. 
</t>
  </si>
  <si>
    <t xml:space="preserve">Examples likely to have a positive impact on the built community 
• Improving community buildings and leisure spaces and access to these 
• Improving access to/increasing green spaces, trees, wildflowers etc. 
• New or improved bus services and active travel infrastructure (e.g. walkways, cycle paths)
• Location/design choices which encourage walking, cycling or discourage car use
• Community involvement, needs assessments etc. 
</t>
  </si>
  <si>
    <t xml:space="preserve">Examples likely to have a negative impact on the built community 
• Changing the location of facilities or services
• Closing community centres/spaces
• Removing green spaces or features such as trees
• Reducing access to travel and transport options 
</t>
  </si>
  <si>
    <t xml:space="preserve">Cultural community is our sense of belonging, connection and shared ideals. It is a group of people with shared behaviours, practices and beliefs.
Thriving cultural communities are resilient, supportive and creative and are key to wellbeing, social equity and climate justice. 
Seek to support beneficial social connections, networks and activities - such as language, sports, hobbies and the arts.
An example of our cultural community in action was during the pandemic, when people mobilised to support each other and, as a result, were more resilient.
</t>
  </si>
  <si>
    <t xml:space="preserve">This is about the impact your project/policy might have on the social and cultural resources of communities. This includes: direct provision of services, access to funding (e.g. crowd-funding initiatives, signposting), supporting residents or local groups and cultural activities. Social and cultural resources encourage inclusion and community empowerment and can include commercial and community-led activities. Impacts affecting community could be either long-term or temporary. </t>
  </si>
  <si>
    <t xml:space="preserve">Examples likely to have a positive impact on cultural community 
• Community events and activities
• Support for community led projects and raising awareness of available resources 
• New, or improved access to, community spaces 
• Increased opportunities/support for residents to meet, connect or take part in cultural activities
• Support for Manx and minority languages 
• Support for informal care networks
</t>
  </si>
  <si>
    <t xml:space="preserve">Examples likely to have a negative impact on cultural community 
• Closure/reduced access to a community/cultural spaces
• Reducing support for community led projects 
• Decreasing opportunities for residents to meet and connect
</t>
  </si>
  <si>
    <t xml:space="preserve">Access the CIA User Guide and lots of other climate change resources by visiting netzero.im/publicbodies or contact publicbodiesclimate@gov.im 
We will help or find someone who can. </t>
  </si>
  <si>
    <t xml:space="preserve">Access to services and information is essential for quality of life. Ensuring the right people can access what you need them to will make your proposal more effective. 
This relates not only to people with disabilities but also to people with other barriers, such as income, educational background, language, caring responsibilities/dependants etc. 
Consider the kinds of people who will need to access information/service/locations in relation to your proposal - speak to them to find out whether there are any barriers and how best to address them.
Tackling climate change involves everyone – so it is essential that climate information, mitigation and adaptation solutions are accessible to all.  
</t>
  </si>
  <si>
    <t xml:space="preserve">Consider how accessible your proposal will be and whether it will impact the accessibility of other services.
Think about whether your project/policy improves opportunities for access or if it presents any barriers to access.  
Think about location, language, style and methods of communication and outreach, financial barriers, isolation/loneliness
If you are not sure whether your proposal will be accessible to a certain group – or how to improve accessibility – speak to that group. 
</t>
  </si>
  <si>
    <t xml:space="preserve">Examples likely to have a positive impact on accessibility 
• Location accessible on foot, by bus, and by car
• Forms/meetings available online and in person
• Resources in multiple languages and availability of an interpreter 
• Use of ‘plain English’ and simple, intuitive design (documents, websites etc.) 
• Concessions 
• Accessible building design (consider layout and furniture as well as construction e.g. low counters suitable for wheelchair users) 
• If your proposal involves food, consideration of cultural restrictions, allergies etc. 
</t>
  </si>
  <si>
    <t xml:space="preserve">Examples likely to have a negative impact on accessibility 
• Location only accessible by car
• Forms only available online, or only in person
• Increasing costs (subscription, fees, fares etc.)
• Inaccessible building design, layout, furniture etc. 
• Complex, technical language (where the information needs to be understood by the general public) 
</t>
  </si>
  <si>
    <t xml:space="preserve">A strong, diverse and sustainable economy a key part of a flourishing and resilient community. People need ample opportunities for quality jobs and livelihoods that support their health and wellbeing.
The global and local economies are changing as a result of climate change impacts and emission reduction measures. As we move away from fossil fuels, the job market is changing. 
It is essential that our economy supports our transition to net zero, while also ensuring that people have access to employment opportunities and that changes are designed with input from those affected. This is critical to delivering a just transition.
</t>
  </si>
  <si>
    <t xml:space="preserve">In line with the just transition principles, consider the need to encourage sustainable, low emission jobs and businesses – and how to help people and our economy toward those types of jobs and businesses. 
Think about access to opportunities; support for local workers and businesses; how information affecting workers and businesses is communicated; support for sustainable business practices/models; workers’ benefits, rights and safety; training and retraining/upskilling; tourism and seasonal businesses. 
</t>
  </si>
  <si>
    <t xml:space="preserve">Examples likely to have a positive impact on local economy and jobs 
• Local procurement of goods and services where possible
• Supporting start-ups, small businesses etc.
• Apprenticeship/training opportunities, schemes and subsidies
• Support (including information, training, schemes etc.) for energy efficiency measures and sustainable business practices 
• Streamlined paperwork requirements, making application processes easy, avoiding unnecessary bureaucracy. 
</t>
  </si>
  <si>
    <t xml:space="preserve">Examples likely to have a negative impact on local economy and jobs 
• Increase in business or energy costs
• Short-term, insecure roles (e.g. zero-hour contracts)
• Business closures
• Reduced public transport options
• Increasing training costs or decreasing training opportunities 
• Failure to plan for a just transition – how can we support affected workers and employers as we transition away from fossil fuels and high emitting practices? 
</t>
  </si>
  <si>
    <t xml:space="preserve">Ensuring that people are safe is fundamental to any proposal. The health and wellbeing of our community depend on having basic needs, such as safety, met. This includes making sure our proposals do not inadvertently encourage or enable any type of crime and that sufficient systems are in place to enforce protections and consequences/penalties. 
If your proposal is creating a law, you need to consider how this will be enforced - what happens if someone breaks it? 
In terms of climate change, think about safety and protection from the impacts of climate change. Also, ensuring that people's fundamental needs are met, that they have what they need to feel secure, opens up bandwidth for climate action.
</t>
  </si>
  <si>
    <t xml:space="preserve">This is about the social and environmental factors that might affect safety and influence crime rates. Considerations include factors affecting sense of safety, the real risk of harm to individuals, or the likelihood of someone committing a crime. 
Consider all types of crime e.g. violent crime, fraud, theft, cyber-crime, corporate ‘white-collar’ crime. 
Who is at risk and why? How can the risk be reduced? 
</t>
  </si>
  <si>
    <t xml:space="preserve">Examples likely to have a positive impact in relation to safety and crime 
• Provision of information about how to stay safe
• Careful consideration of lighting, location and access routes for buildings, services, events etc. 
• Training for service providers (e.g. first aid, de-escalation, etc.) 
• Road planning for safety (e.g. crossing points, cycle lanes etc.)  
• Climate change adaptation measures 
• Support for first responders, ‘blue light’ services etc. (including training, benefits, support services etc.) 
• Robust processes (e.g. audits, data protection, enforcement etc.)
</t>
  </si>
  <si>
    <t xml:space="preserve">Examples likely to have a negative impact in relation to safety and crime 
• Increased unemployment or increased cost-of-living 
• Reduced support for the most vulnerable (e.g. low income families) 
• Poor planning of lighting, location and access routes for buildings, services, events etc.
• Limited/reduced availability of or support for first responders, ‘blue light’ services etc. 
• Closing community centres or social services
</t>
  </si>
  <si>
    <t xml:space="preserve">Access the CIA User Guide and lots of other climate change resources by visiting netzero.im/publicbodies or contact publicbodiesclimate@gov.im We will help or find someone who can.  </t>
  </si>
  <si>
    <t xml:space="preserve">Equity is about addressing inequalities - both reducing existing inequalities and taking care not to create new ones. 
Equity is fundamental to addressing climate change. 
Those who have done the least to cause climate change are usually most severely affected and the least able to adapt. 
Equity goes beyond the protected characteristics of the Equality Act, incorporating all kinds of differences which could change the way a proposal impacts people. 
Addressing climate change provides a unique opportunity to look at the way we do things and re-evaluate them, creating more equity. 
To really understand the potential impacts of your proposal, speak to the people who will be affected (see also Democratic Voice).
</t>
  </si>
  <si>
    <t xml:space="preserve">Equity is the fair and just treatment of all members of a community, with a particular focus on support for groups who have historically suffered discrimination and for whom inequalities currently exist.  It is important to avoid exacerbating existing inequalities and reduce the risk of discrimination through safeguards, ensuring equal opportunities result from a project/policy. 
This section includes similar considerations to, but is not the same as, an Equality Assessment. This section asks you to consider a wider range of characteristics, not covered by equality legislation, such as poverty and educational background. If your policy or proposal effects a group with a protected characteristic, please also complete an Equality Screening/Assessment.  
Consider: 
• Who will be affected? How can you find out their needs and views? 
• How will you implement your proposal so that it does not create inequalities or make existing inequalities worse?
• How can you allocate the costs and benefits of your proposal according to need and ability to pay?
</t>
  </si>
  <si>
    <t xml:space="preserve">Examples likely to have a positive impact in relation to equity 
• Allocating costs according to ability to pay
• Allocating benefits according to need
• Involving potentially impacted groups in proposal development
• Improving access to services and information 
• Increasing support or decreasing costs for the most vulnerable (e.g. low income families) 
</t>
  </si>
  <si>
    <t xml:space="preserve">Examples likely to have a negative impact in relation to equity 
• Not engaging with potentially impacted groups
• Disproportionate or poorly allocated costs/benefits 
• Reducing opportunity/access to services in an area local to a particular group
• Decreasing support or increasing costs for the most vulnerable (e.g. low income families) 
</t>
  </si>
  <si>
    <t>Access the CIA User Guide and lots of other climate change resources by visiting netzero.im/publicbodies or contact publicbodiesclimate@gov.im 
We will help or find someone who can.</t>
  </si>
  <si>
    <t xml:space="preserve">As public bodies, our job is to support, protect and provide services for our community. Democratic voice means ensuring that we meet their needs by effectively finding out what those needs are. This means ensuring people's voices are heard and taken into account in the decisions that affect them. 
Supporting the democratic voice of our community is a core principle within the climate change duties. In particular, the just transition principle. 
For more detail on how you can do this - see the Fair Change Framework.
</t>
  </si>
  <si>
    <t xml:space="preserve">Please refer to the Fair Change Framework, which provides detailed guidance on how to maximise social inclusion in policy development. 
Democratic voice is about the opportunities available to the public to be involved in the decisions affecting their lives. Active, meaningful and early engagement with the public is preferable as it allows people to have a sense of control over their lives.  Meaningful engagement is when the public can truly change or influence the development of a proposal or the outcome of a project/decision.  
Think about the people who will be affected by your proposal e.g. staff, students, families, minority groups, workers or businesses in a particular industry. 
</t>
  </si>
  <si>
    <t xml:space="preserve">Examples likely to have a positive impact in relation to democratic voice 
• Inclusive development of proposals, involving those who will be affected early. 
• Providing a range of consultation and engagement opportunities and sign posting to them effectively.  
• Being clear about how feedback and engagement can influence the proposal/decision
• Providing feedback on consultation and engagement – letting people know how their input has influenced the proposal. 
• Building engagement and outreach into your proposal (including costs) 
• Taking care to explain technical or complex information using simple, accessible language in consultation/engagement materials. Consider your audience.  
</t>
  </si>
  <si>
    <t xml:space="preserve">Examples likely to have a negative impact in relation to democratic voice 
• Limited or inaccessible methods of consultation (e.g. only online) and outreach (e.g. only in a press release or only on a website).
• Consulting too late, after decisions have been made. 
• Consultation/engagement materials that are too technical, complex or lengthy. 
• Listening only to the loudest voices – these may not represent the majority view. 
• Ignoring concerns. 
• Giving a false impression of how people’s input and influence a proposal or decision – be clear about aspects of a proposal which cannot be changed and why.
</t>
  </si>
  <si>
    <t xml:space="preserve">Climate Change Adaptation </t>
  </si>
  <si>
    <r>
      <t xml:space="preserve">The CIA Tool itself also contains guidance - hover over any field with a </t>
    </r>
    <r>
      <rPr>
        <sz val="11"/>
        <color rgb="FFFF0000"/>
        <rFont val="Calibri"/>
        <family val="2"/>
        <scheme val="minor"/>
      </rPr>
      <t>red triangle</t>
    </r>
    <r>
      <rPr>
        <sz val="11"/>
        <color theme="1"/>
        <rFont val="Calibri"/>
        <family val="2"/>
        <scheme val="minor"/>
      </rPr>
      <t xml:space="preserve"> in the corner to access guidance. If you have any problems viewing the guidance in the red triangles, the full text is provided on the 'Guidance' tab. </t>
    </r>
  </si>
  <si>
    <t>The proposal is made under section 23 of the Custody Act 1995 (Early release of detainees)</t>
  </si>
  <si>
    <t>The proposal is one that is being repeated exactly within 12 months of the initial climate impact assessment having been completed</t>
  </si>
  <si>
    <t xml:space="preserve">CIA - SUMMARY REPORT </t>
  </si>
  <si>
    <t xml:space="preserve">Require approval by a member of Tynwald in a decision making capacity for the public body </t>
  </si>
  <si>
    <t>Require approval by a board, committee or other decision making group that includes member of Tynwald in a decision making capacity for the public body</t>
  </si>
  <si>
    <t>The proposal is for a change/s to delegation/s, staff recruitment or remuneration.</t>
  </si>
  <si>
    <r>
      <rPr>
        <b/>
        <sz val="14"/>
        <color theme="1"/>
        <rFont val="Calibri"/>
        <family val="2"/>
        <scheme val="minor"/>
      </rPr>
      <t xml:space="preserve">Supporting our Biosphere </t>
    </r>
    <r>
      <rPr>
        <sz val="11"/>
        <color theme="1"/>
        <rFont val="Calibri"/>
        <family val="2"/>
        <scheme val="minor"/>
      </rPr>
      <t xml:space="preserve">
The CIA has been designed to help public bodies assess their proposals and activities for compliance with their climate change duties (see Legal Obligations in the User Guide). Beyond climate, it recognises all important considerations as a Biosphere Reserve. The Man and the Biosphere Programme, aims to establish a scientific basis for enhancing the relationship between people and their environments and supports the United Nations’ Sustainable Development Goals. As a whole nation Biosphere, Isle of Man public bodies can use the CIA as an aid to develop in a way which is sustainable for people and the rest of nature, finding balanced but innovative solutions collectively. </t>
    </r>
  </si>
  <si>
    <t>Explain why you chose these options including any mitigations or justifications:</t>
  </si>
  <si>
    <t>For more detailed guidance on how to complete the CIA, please visit the User Guide.
To arrange training please contact publicbodiesclimate@gov.im</t>
  </si>
  <si>
    <r>
      <t>Question c. in each section asks about the impacts beyond the '</t>
    </r>
    <r>
      <rPr>
        <b/>
        <sz val="11"/>
        <color theme="1"/>
        <rFont val="Calibri"/>
        <family val="2"/>
        <scheme val="minor"/>
      </rPr>
      <t>intended location</t>
    </r>
    <r>
      <rPr>
        <sz val="11"/>
        <color theme="1"/>
        <rFont val="Calibri"/>
        <family val="2"/>
        <scheme val="minor"/>
      </rPr>
      <t>' - if your proposal relates to a specific area of the Island, e.g.. a town, then that is the 'intended location'. If your proposal is intended to affect the whole Island, e.g.. a new piece of legislation, then the answer to this question will likely be 'No'. If you are not sure please contact publicbodiesclimate@gov.im</t>
    </r>
  </si>
  <si>
    <r>
      <t xml:space="preserve">If you need more space to answer any of the questions, please increase the </t>
    </r>
    <r>
      <rPr>
        <b/>
        <i/>
        <sz val="11"/>
        <color rgb="FFC00000"/>
        <rFont val="Calibri"/>
        <family val="2"/>
        <scheme val="minor"/>
      </rPr>
      <t>row</t>
    </r>
    <r>
      <rPr>
        <i/>
        <sz val="11"/>
        <color rgb="FFC00000"/>
        <rFont val="Calibri"/>
        <family val="2"/>
        <scheme val="minor"/>
      </rPr>
      <t xml:space="preserve"> size by highlighting the row and dragging it larger using the left hand bar. Please </t>
    </r>
    <r>
      <rPr>
        <b/>
        <i/>
        <sz val="11"/>
        <color rgb="FFC00000"/>
        <rFont val="Calibri"/>
        <family val="2"/>
        <scheme val="minor"/>
      </rPr>
      <t xml:space="preserve">do not </t>
    </r>
    <r>
      <rPr>
        <i/>
        <sz val="11"/>
        <color rgb="FFC00000"/>
        <rFont val="Calibri"/>
        <family val="2"/>
        <scheme val="minor"/>
      </rPr>
      <t xml:space="preserve">adjust the column width. </t>
    </r>
  </si>
  <si>
    <r>
      <t xml:space="preserve">How does this proposal ensure resources are being sourced in the most sustainable way? Consider the lifecycle of the material, from raw materials to disposal including:
• whether the materials come from a sustainable, renewable source e.g.. evidenced by a certification
• whether the materials are new, recycled or repurposed
• whether the materials can be reused, recycled or repurposed after use
• the transparency/trustworthiness of the supply chain e.g. manufacturers' sustainability credentials
•  ethical production and manufacturing e.g. modern-slavery, child labour etc. 
•  embodied carbon - some materials, such as concrete, have a very high emissions footprint
This section is about </t>
    </r>
    <r>
      <rPr>
        <i/>
        <sz val="11"/>
        <color theme="1"/>
        <rFont val="Calibri"/>
        <family val="2"/>
        <scheme val="minor"/>
      </rPr>
      <t>choosing</t>
    </r>
    <r>
      <rPr>
        <sz val="11"/>
        <color theme="1"/>
        <rFont val="Calibri"/>
        <family val="2"/>
        <scheme val="minor"/>
      </rPr>
      <t xml:space="preserve"> and </t>
    </r>
    <r>
      <rPr>
        <i/>
        <sz val="11"/>
        <color theme="1"/>
        <rFont val="Calibri"/>
        <family val="2"/>
        <scheme val="minor"/>
      </rPr>
      <t>sourcing</t>
    </r>
    <r>
      <rPr>
        <sz val="11"/>
        <color theme="1"/>
        <rFont val="Calibri"/>
        <family val="2"/>
        <scheme val="minor"/>
      </rPr>
      <t xml:space="preserve"> materials while 10. Waste is about disposal. However, the sections are closely linked and the life cycle of materials should be considered in answering both. </t>
    </r>
  </si>
  <si>
    <t xml:space="preserve">The proposal is for immaterial amendments to a document (e.g.. corrections, formatting etc.) </t>
  </si>
  <si>
    <t xml:space="preserve">It is part of your legal responsibilities to ensure that the public body, on behalf of which you are making this decision, in performing its duties, acts in the way that it
considers best to contribute to the climate change duties, which are:
•  meeting our statutory emissions reduction targets
•  supporting a just transition and climate justice
•  supporting sustainable development and the UN SDGs
•  protecting and enhancing biodiversity, ecosystems and ecosystem services.
It is also part of your legal responsibilities, when making a decision, to take a Climate Impact Assessment into account, if one has been prepared. 
Refer to the Impact Wheel for an 'at a glance' summary of the expected impacts of this proposal. For more detail about how/why each criteria has received these scores, see the 'Justification/Explanation' column in the Results Table to the right. 
You should be satisfied that the proposal presented represents the best way contribute to the climate change goals while achieving the goals of the proposal. 
If you are not satisfied - for example, if you believe changes or additional/alternative mitigations are possible, you should request that these be included in the proposal.
The Climate Impact Assessment does not force any particular decision - where you feel it necessary to proceed despite negative impacts, you should ensure that you are satisfied that the justifications for doing so are explained and are sufficient. 
</t>
  </si>
  <si>
    <t xml:space="preserve">Sustainable transport means low GHG forms of transport, which includes walking, cycling, public transport and electric vehicles. 
Proposals which support sustainable transport are those which to make these forms of transport easier/more accessible or more affordable. 
Consider whether your proposal involves any transport (e.g.. by service users, staff or for deliveries) and how it can encourage the use of sustainable transport for those journeys. 
</t>
  </si>
  <si>
    <t xml:space="preserve">Some examples of proposals likely to have negative impacts on soil, watercourse and marine health. 
• Increasing noise or artificial light levels (e.g. outdoor events, in the short term)      
• Removing/damaging established habitats
• Increasing fertiliser, pesticide, herbicide/weed killer or other chemical use              
 • Reducing green space or interrupting a wildlife corridor
• Increasing road/construction run off (e.g.. installation of non-permeable surfaces)    
• Sewage or other harmful discharge into the sea or rivers
• Removing water from rivers                                                                            
• Open loop ground source heat pumps
• Projects on or near riparian land (e.g. river banks and wetlands)
</t>
  </si>
  <si>
    <t xml:space="preserve">This section is about the waste your proposal will generate and how it will be disposed of. 
Waste includes anything which will need to be disposed of e.g. because it has reached the end of its useful life, there is a surplus, or it goes ‘out of date’ including products, materials, food, clothing, office supplies, medicines, chemicals, etc. Also consider waste water – whether used (e.g. in toilets and sinks) or wasted (e.g. improper/unnecessary use, leaks) 
The aims are to: 
• decrease the production of avoidable waste;
• maintain the value of materials for as long as possible before they are disposed of; and 
• reduce the negative impacts (e.g.. GHG emissions, pollution) of waste by finding the best possible disposal route. 
Always consider the waste hierarchy (in this order!): Prevent – Reduce – Reuse – Recycle – Recover – Dispose 
After recycling, other forms of recovery (e.g. anaerobic digestion and industrial composting) should be considered to reduce the amount of waste going to landfill/incineration. 
The best disposal route will depend on the types of materials your proposal uses and the disposal routes available. If you are not sure, please use the contact information below to seek further advice.  
YOU SHOULD CHECK THAT THERE IS A SUITABLE DISPOSAL ROUTE FOR MATERIAL/TECHNOLOGIES TO BE USED, ESPECIALLY IF THEY ARE NOVEL (IE. NEW TO THE MARKET), NOT COMMONLY USED OR POTENTIALLY HAZARDOUS
</t>
  </si>
  <si>
    <t>If you have a question that is not covered by the in-tool guidance - please refer to the User Guide available at https://www.netzero.im/resources/public-bodies/cia/</t>
  </si>
  <si>
    <t>Significantly reduce GHG emissions (or significantly increase removals)</t>
  </si>
  <si>
    <t>Slightly reduce GHG emissions (or slightly increase removals)</t>
  </si>
  <si>
    <t>Slightly increase GHG emissions (or slightly reduce removals)</t>
  </si>
  <si>
    <t>Significantly increase GHG emissions (or signficiantly reduce removals)</t>
  </si>
  <si>
    <t xml:space="preserve">How will this proposal transform the current landscape and how it is used/maintained? Consider:
• Changes in land use (e.g. grassland to agriculture or new developments)
• Changes to surface permeability (e.g. non-permeable concrete/tarmac surfaces vs .permeable gravel/paving)
• Green infrastructure (e.g. trees, retention ponds for flood management) 
• Impacts on removals - the capture and storage of CO2 by habitats. 
</t>
  </si>
  <si>
    <t xml:space="preserve">How will this proposal affect the health of soil, watercourses and the marine environment?
Elevated concentrations of nutrients, heavy metals, sediment or other parameters can negatively impact the health of a watercourse.
Any project involving a change in land-use type or management practices should consider the impact on nearby watercourses.
Also consider activities at sea or on the sea bed. 
Pollution levels and the biodiversity present in soil and water can be adversely affected by:
• run off from agricultural land where manure, pesticides or fertiliser are spread  
• surface-water run-off from construction on land or at sea
• sewage discharges during periods of heavy rain or snow melt
• discharge of pollutants (e.g.. fuels, harmful chemicals) into watercourses or the sea
• altering/interfering with the natural flow/levels of water ways
• plastic waste (including micro plastics) entering the environment
</t>
  </si>
  <si>
    <t>Sustainable resources not used much</t>
  </si>
  <si>
    <t xml:space="preserve">How will this proposal impact levels of GHG emissions and/or removals? 
Consider: 
• Fossil fuels used to heat homes or drive vehicles
• Methane released by livestock or waste processes
• Fertilisers or agricultural activities
• Industrial refrigeration and air-conditioning processes
• Increasing 'removals' - the capture and storage of CO2, sometimes known as 'sequestration' - typically achieved through habitat creation or restoration.
</t>
  </si>
  <si>
    <r>
      <t xml:space="preserve">It is recommended that the CIA be completed </t>
    </r>
    <r>
      <rPr>
        <b/>
        <u/>
        <sz val="12"/>
        <color theme="1"/>
        <rFont val="Calibri"/>
        <family val="2"/>
        <scheme val="minor"/>
      </rPr>
      <t xml:space="preserve">in a group.
</t>
    </r>
    <r>
      <rPr>
        <sz val="12"/>
        <color theme="1"/>
        <rFont val="Calibri"/>
        <family val="2"/>
        <scheme val="minor"/>
      </rPr>
      <t xml:space="preserve">Please enter the names of anyone else who contributed to completing the assessment below: </t>
    </r>
  </si>
  <si>
    <t>Sustainable resources not used/considered at all</t>
  </si>
  <si>
    <t>Version: 15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</si>
</sst>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5" x14ac:knownFonts="1">
    <font>
      <sz val="11"/>
      <color theme="1"/>
      <name val="Calibri"/>
      <family val="2"/>
      <scheme val="minor"/>
    </font>
    <font>
      <b/>
      <sz val="11"/>
      <color theme="1"/>
      <name val="Calibri"/>
      <family val="2"/>
      <scheme val="minor"/>
    </font>
    <font>
      <b/>
      <sz val="12"/>
      <color theme="1"/>
      <name val="Calibri"/>
      <family val="2"/>
      <scheme val="minor"/>
    </font>
    <font>
      <u/>
      <sz val="11"/>
      <color theme="1"/>
      <name val="Calibri"/>
      <family val="2"/>
      <scheme val="minor"/>
    </font>
    <font>
      <sz val="10"/>
      <color theme="1"/>
      <name val="Calibri"/>
      <family val="2"/>
      <scheme val="minor"/>
    </font>
    <font>
      <b/>
      <sz val="14"/>
      <color theme="1"/>
      <name val="Calibri"/>
      <family val="2"/>
      <scheme val="minor"/>
    </font>
    <font>
      <sz val="11"/>
      <color theme="5" tint="-0.249977111117893"/>
      <name val="Calibri"/>
      <family val="2"/>
      <scheme val="minor"/>
    </font>
    <font>
      <sz val="11"/>
      <name val="Calibri"/>
      <family val="2"/>
      <scheme val="minor"/>
    </font>
    <font>
      <sz val="9"/>
      <color indexed="81"/>
      <name val="Tahoma"/>
      <family val="2"/>
    </font>
    <font>
      <b/>
      <sz val="9"/>
      <color indexed="81"/>
      <name val="Tahoma"/>
      <family val="2"/>
    </font>
    <font>
      <b/>
      <u/>
      <sz val="16"/>
      <color theme="1"/>
      <name val="Calibri"/>
      <family val="2"/>
      <scheme val="minor"/>
    </font>
    <font>
      <sz val="11"/>
      <color rgb="FF000000"/>
      <name val="Calibri"/>
      <family val="2"/>
      <scheme val="minor"/>
    </font>
    <font>
      <b/>
      <sz val="11"/>
      <color rgb="FF000000"/>
      <name val="Calibri"/>
      <family val="2"/>
      <scheme val="minor"/>
    </font>
    <font>
      <u/>
      <sz val="11"/>
      <color theme="10"/>
      <name val="Calibri"/>
      <family val="2"/>
      <scheme val="minor"/>
    </font>
    <font>
      <sz val="11"/>
      <color theme="9"/>
      <name val="Calibri"/>
      <family val="2"/>
      <scheme val="minor"/>
    </font>
    <font>
      <u/>
      <sz val="16"/>
      <color theme="1"/>
      <name val="Calibri"/>
      <family val="2"/>
      <scheme val="minor"/>
    </font>
    <font>
      <sz val="14"/>
      <color theme="1"/>
      <name val="Calibri"/>
      <family val="2"/>
      <scheme val="minor"/>
    </font>
    <font>
      <sz val="16"/>
      <color theme="1"/>
      <name val="Calibri"/>
      <family val="2"/>
      <scheme val="minor"/>
    </font>
    <font>
      <b/>
      <sz val="16"/>
      <color rgb="FFFF0000"/>
      <name val="Calibri"/>
      <family val="2"/>
      <scheme val="minor"/>
    </font>
    <font>
      <b/>
      <sz val="22"/>
      <color theme="1"/>
      <name val="Calibri"/>
      <family val="2"/>
      <scheme val="minor"/>
    </font>
    <font>
      <u/>
      <sz val="12"/>
      <color theme="1"/>
      <name val="Calibri"/>
      <family val="2"/>
      <scheme val="minor"/>
    </font>
    <font>
      <b/>
      <sz val="14"/>
      <color theme="7"/>
      <name val="Calibri"/>
      <family val="2"/>
      <scheme val="minor"/>
    </font>
    <font>
      <b/>
      <sz val="16"/>
      <color theme="6"/>
      <name val="Calibri"/>
      <family val="2"/>
      <scheme val="minor"/>
    </font>
    <font>
      <b/>
      <sz val="16"/>
      <color theme="1"/>
      <name val="Calibri"/>
      <family val="2"/>
      <scheme val="minor"/>
    </font>
    <font>
      <sz val="12"/>
      <color theme="1"/>
      <name val="Calibri"/>
      <family val="2"/>
      <scheme val="minor"/>
    </font>
    <font>
      <u/>
      <sz val="10"/>
      <color theme="10"/>
      <name val="Calibri"/>
      <family val="2"/>
      <scheme val="minor"/>
    </font>
    <font>
      <b/>
      <u/>
      <sz val="12"/>
      <color theme="1"/>
      <name val="Calibri"/>
      <family val="2"/>
      <scheme val="minor"/>
    </font>
    <font>
      <b/>
      <sz val="12"/>
      <color theme="5"/>
      <name val="Calibri"/>
      <family val="2"/>
      <scheme val="minor"/>
    </font>
    <font>
      <b/>
      <sz val="10"/>
      <color theme="1"/>
      <name val="Calibri"/>
      <family val="2"/>
      <scheme val="minor"/>
    </font>
    <font>
      <b/>
      <sz val="10"/>
      <color rgb="FF1E1E4C"/>
      <name val="Calibri"/>
      <family val="2"/>
    </font>
    <font>
      <b/>
      <i/>
      <sz val="11"/>
      <color theme="1"/>
      <name val="Calibri"/>
      <family val="2"/>
      <scheme val="minor"/>
    </font>
    <font>
      <sz val="9"/>
      <color indexed="81"/>
      <name val="Calibri"/>
      <family val="2"/>
      <scheme val="minor"/>
    </font>
    <font>
      <b/>
      <sz val="18"/>
      <color theme="1"/>
      <name val="Calibri"/>
      <family val="2"/>
      <scheme val="minor"/>
    </font>
    <font>
      <i/>
      <sz val="11"/>
      <color theme="1"/>
      <name val="Calibri"/>
      <family val="2"/>
      <scheme val="minor"/>
    </font>
    <font>
      <sz val="20"/>
      <color theme="1"/>
      <name val="Calibri"/>
      <family val="2"/>
      <scheme val="minor"/>
    </font>
    <font>
      <i/>
      <sz val="9"/>
      <color indexed="81"/>
      <name val="Tahoma"/>
      <family val="2"/>
    </font>
    <font>
      <sz val="11"/>
      <color indexed="81"/>
      <name val="Calibri"/>
      <family val="2"/>
      <scheme val="minor"/>
    </font>
    <font>
      <sz val="9"/>
      <color indexed="81"/>
      <name val="Tahoma"/>
      <charset val="1"/>
    </font>
    <font>
      <b/>
      <sz val="9"/>
      <color indexed="81"/>
      <name val="Tahoma"/>
      <charset val="1"/>
    </font>
    <font>
      <sz val="12"/>
      <color rgb="FFC00000"/>
      <name val="Calibri"/>
      <family val="2"/>
      <scheme val="minor"/>
    </font>
    <font>
      <b/>
      <sz val="28"/>
      <color theme="1"/>
      <name val="Calibri"/>
      <family val="2"/>
      <scheme val="minor"/>
    </font>
    <font>
      <i/>
      <sz val="16"/>
      <color rgb="FFC00000"/>
      <name val="Calibri"/>
      <family val="2"/>
      <scheme val="minor"/>
    </font>
    <font>
      <i/>
      <sz val="11"/>
      <color rgb="FFC00000"/>
      <name val="Calibri"/>
      <family val="2"/>
      <scheme val="minor"/>
    </font>
    <font>
      <b/>
      <i/>
      <sz val="11"/>
      <color rgb="FFC00000"/>
      <name val="Calibri"/>
      <family val="2"/>
      <scheme val="minor"/>
    </font>
    <font>
      <b/>
      <u/>
      <sz val="12"/>
      <color rgb="FFC00000"/>
      <name val="Calibri"/>
      <family val="2"/>
      <scheme val="minor"/>
    </font>
    <font>
      <b/>
      <sz val="16"/>
      <color indexed="81"/>
      <name val="Tahoma"/>
      <family val="2"/>
    </font>
    <font>
      <sz val="20"/>
      <color indexed="81"/>
      <name val="Calibri"/>
      <family val="2"/>
      <scheme val="minor"/>
    </font>
    <font>
      <b/>
      <sz val="20"/>
      <color indexed="81"/>
      <name val="Calibri"/>
      <family val="2"/>
      <scheme val="minor"/>
    </font>
    <font>
      <sz val="12"/>
      <color indexed="81"/>
      <name val="Calibri"/>
      <family val="2"/>
      <scheme val="minor"/>
    </font>
    <font>
      <b/>
      <sz val="9"/>
      <color indexed="81"/>
      <name val="Calibri"/>
      <family val="2"/>
      <scheme val="minor"/>
    </font>
    <font>
      <b/>
      <sz val="18"/>
      <color rgb="FFC00000"/>
      <name val="Calibri"/>
      <family val="2"/>
      <scheme val="minor"/>
    </font>
    <font>
      <sz val="22"/>
      <color theme="1"/>
      <name val="Calibri"/>
      <family val="2"/>
      <scheme val="minor"/>
    </font>
    <font>
      <sz val="24"/>
      <color theme="1"/>
      <name val="Calibri"/>
      <family val="2"/>
      <scheme val="minor"/>
    </font>
    <font>
      <b/>
      <i/>
      <sz val="12"/>
      <color theme="5"/>
      <name val="Calibri"/>
      <family val="2"/>
      <scheme val="minor"/>
    </font>
    <font>
      <sz val="11"/>
      <color rgb="FFFF0000"/>
      <name val="Calibri"/>
      <family val="2"/>
      <scheme val="minor"/>
    </font>
    <font>
      <b/>
      <sz val="14"/>
      <color rgb="FFFF0000"/>
      <name val="Calibri"/>
      <family val="2"/>
      <scheme val="minor"/>
    </font>
    <font>
      <b/>
      <sz val="12"/>
      <color rgb="FFFF0000"/>
      <name val="Calibri"/>
      <family val="2"/>
      <scheme val="minor"/>
    </font>
    <font>
      <u/>
      <sz val="20"/>
      <color indexed="81"/>
      <name val="Calibri"/>
      <family val="2"/>
      <scheme val="minor"/>
    </font>
    <font>
      <b/>
      <sz val="11"/>
      <color theme="9"/>
      <name val="Calibri"/>
      <family val="2"/>
      <scheme val="minor"/>
    </font>
    <font>
      <i/>
      <sz val="11"/>
      <color theme="5"/>
      <name val="Calibri"/>
      <family val="2"/>
      <scheme val="minor"/>
    </font>
    <font>
      <b/>
      <i/>
      <sz val="11"/>
      <color theme="5"/>
      <name val="Calibri"/>
      <family val="2"/>
      <scheme val="minor"/>
    </font>
    <font>
      <b/>
      <sz val="11"/>
      <color theme="5"/>
      <name val="Calibri"/>
      <family val="2"/>
      <scheme val="minor"/>
    </font>
    <font>
      <b/>
      <sz val="11"/>
      <color theme="5"/>
      <name val="Wingdings 3"/>
      <family val="1"/>
      <charset val="2"/>
    </font>
    <font>
      <b/>
      <sz val="20"/>
      <color theme="1"/>
      <name val="Calibri"/>
      <family val="2"/>
      <scheme val="minor"/>
    </font>
    <font>
      <i/>
      <sz val="16"/>
      <color theme="4"/>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9"/>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E12809"/>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9"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3" fillId="0" borderId="0" applyNumberFormat="0" applyFill="0" applyBorder="0" applyAlignment="0" applyProtection="0"/>
  </cellStyleXfs>
  <cellXfs count="356">
    <xf numFmtId="0" fontId="0" fillId="0" borderId="0" xfId="0"/>
    <xf numFmtId="0" fontId="0" fillId="0" borderId="1" xfId="0" applyBorder="1"/>
    <xf numFmtId="0" fontId="1" fillId="0" borderId="2" xfId="0" applyFont="1" applyBorder="1"/>
    <xf numFmtId="0" fontId="1" fillId="0" borderId="0" xfId="0" applyFont="1"/>
    <xf numFmtId="0" fontId="0" fillId="2" borderId="0" xfId="0" applyFill="1"/>
    <xf numFmtId="0" fontId="1" fillId="2" borderId="0" xfId="0" applyFont="1" applyFill="1"/>
    <xf numFmtId="0" fontId="5" fillId="2" borderId="0" xfId="0" applyFont="1" applyFill="1"/>
    <xf numFmtId="0" fontId="3" fillId="2" borderId="0" xfId="0" applyFont="1" applyFill="1"/>
    <xf numFmtId="0" fontId="11" fillId="0" borderId="0" xfId="0" applyFont="1" applyAlignment="1">
      <alignment vertical="center"/>
    </xf>
    <xf numFmtId="0" fontId="12" fillId="0" borderId="0" xfId="0" applyFont="1" applyAlignment="1">
      <alignment vertical="center"/>
    </xf>
    <xf numFmtId="0" fontId="11" fillId="0" borderId="0" xfId="0" applyFont="1"/>
    <xf numFmtId="0" fontId="7" fillId="0" borderId="0" xfId="0" applyFont="1"/>
    <xf numFmtId="0" fontId="0" fillId="0" borderId="15" xfId="0" applyBorder="1"/>
    <xf numFmtId="0" fontId="0" fillId="2" borderId="0" xfId="0" applyFill="1" applyAlignment="1">
      <alignment horizontal="right"/>
    </xf>
    <xf numFmtId="0" fontId="16" fillId="2" borderId="0" xfId="0" applyFont="1" applyFill="1"/>
    <xf numFmtId="0" fontId="0" fillId="2" borderId="0" xfId="0" applyFill="1" applyAlignment="1">
      <alignment vertical="top"/>
    </xf>
    <xf numFmtId="0" fontId="0" fillId="8" borderId="14" xfId="0" applyFill="1" applyBorder="1"/>
    <xf numFmtId="0" fontId="0" fillId="8" borderId="15" xfId="0" applyFill="1" applyBorder="1"/>
    <xf numFmtId="0" fontId="0" fillId="8" borderId="16" xfId="0" applyFill="1" applyBorder="1"/>
    <xf numFmtId="0" fontId="0" fillId="0" borderId="14" xfId="0" applyBorder="1"/>
    <xf numFmtId="0" fontId="0" fillId="0" borderId="16" xfId="0" applyBorder="1"/>
    <xf numFmtId="0" fontId="0" fillId="2" borderId="1" xfId="0" applyFill="1" applyBorder="1" applyAlignment="1" applyProtection="1">
      <alignment wrapText="1"/>
      <protection locked="0"/>
    </xf>
    <xf numFmtId="0" fontId="0" fillId="2" borderId="1" xfId="0" applyFill="1" applyBorder="1" applyProtection="1">
      <protection locked="0"/>
    </xf>
    <xf numFmtId="0" fontId="0" fillId="2" borderId="1" xfId="0" applyFill="1" applyBorder="1" applyAlignment="1" applyProtection="1">
      <alignment horizontal="left" vertical="top" wrapText="1"/>
      <protection locked="0"/>
    </xf>
    <xf numFmtId="14" fontId="0" fillId="2" borderId="1" xfId="0" applyNumberFormat="1" applyFill="1" applyBorder="1" applyAlignment="1" applyProtection="1">
      <alignment horizontal="left" vertical="top" wrapText="1"/>
      <protection locked="0"/>
    </xf>
    <xf numFmtId="0" fontId="0" fillId="2" borderId="1" xfId="0" applyFill="1" applyBorder="1" applyAlignment="1" applyProtection="1">
      <alignment horizontal="left" vertical="top"/>
      <protection locked="0"/>
    </xf>
    <xf numFmtId="0" fontId="0" fillId="0" borderId="0" xfId="0" applyProtection="1">
      <protection locked="0"/>
    </xf>
    <xf numFmtId="0" fontId="0" fillId="2" borderId="0" xfId="0" applyFill="1" applyAlignment="1">
      <alignment vertical="top" wrapText="1"/>
    </xf>
    <xf numFmtId="0" fontId="0" fillId="2" borderId="0" xfId="0" applyFill="1" applyAlignment="1">
      <alignment horizontal="left"/>
    </xf>
    <xf numFmtId="0" fontId="0" fillId="0" borderId="0" xfId="0" applyAlignment="1">
      <alignment horizontal="left"/>
    </xf>
    <xf numFmtId="0" fontId="16" fillId="0" borderId="0" xfId="0" applyFont="1" applyAlignment="1">
      <alignment vertical="top"/>
    </xf>
    <xf numFmtId="0" fontId="0" fillId="0" borderId="4" xfId="0" applyBorder="1"/>
    <xf numFmtId="0" fontId="0" fillId="0" borderId="12"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3" xfId="0" applyBorder="1"/>
    <xf numFmtId="0" fontId="0" fillId="0" borderId="3" xfId="0" applyBorder="1"/>
    <xf numFmtId="0" fontId="5" fillId="0" borderId="5" xfId="0" applyFont="1" applyBorder="1"/>
    <xf numFmtId="0" fontId="5" fillId="0" borderId="0" xfId="0" applyFont="1"/>
    <xf numFmtId="0" fontId="5" fillId="0" borderId="1" xfId="0" applyFont="1" applyBorder="1" applyAlignment="1">
      <alignment horizontal="center"/>
    </xf>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vertical="top" wrapText="1"/>
    </xf>
    <xf numFmtId="0" fontId="2" fillId="12" borderId="0" xfId="0" applyFont="1" applyFill="1"/>
    <xf numFmtId="0" fontId="24" fillId="12" borderId="0" xfId="0" applyFont="1" applyFill="1"/>
    <xf numFmtId="0" fontId="0" fillId="12" borderId="0" xfId="0" applyFill="1"/>
    <xf numFmtId="0" fontId="2" fillId="3" borderId="0" xfId="0" applyFont="1" applyFill="1"/>
    <xf numFmtId="0" fontId="24" fillId="3" borderId="0" xfId="0" applyFont="1" applyFill="1"/>
    <xf numFmtId="0" fontId="0" fillId="3" borderId="0" xfId="0" applyFill="1"/>
    <xf numFmtId="0" fontId="0" fillId="3" borderId="0" xfId="0" applyFill="1" applyAlignment="1">
      <alignment vertical="center"/>
    </xf>
    <xf numFmtId="0" fontId="24" fillId="3" borderId="0" xfId="0" applyFont="1" applyFill="1" applyAlignment="1">
      <alignment horizontal="left" vertical="center" wrapText="1"/>
    </xf>
    <xf numFmtId="0" fontId="24" fillId="0" borderId="1" xfId="0" applyFont="1" applyBorder="1" applyAlignment="1">
      <alignment horizontal="center" vertical="center"/>
    </xf>
    <xf numFmtId="0" fontId="23" fillId="3" borderId="0" xfId="0" applyFont="1" applyFill="1"/>
    <xf numFmtId="0" fontId="3" fillId="0" borderId="0" xfId="0" applyFont="1"/>
    <xf numFmtId="0" fontId="0" fillId="0" borderId="0" xfId="0" applyAlignment="1">
      <alignment horizontal="right"/>
    </xf>
    <xf numFmtId="0" fontId="0" fillId="0" borderId="0" xfId="0" applyAlignment="1">
      <alignment wrapText="1"/>
    </xf>
    <xf numFmtId="0" fontId="0" fillId="0" borderId="1" xfId="0" applyBorder="1" applyAlignment="1">
      <alignment horizontal="right"/>
    </xf>
    <xf numFmtId="0" fontId="17" fillId="0" borderId="0" xfId="0" applyFont="1"/>
    <xf numFmtId="0" fontId="18" fillId="0" borderId="0" xfId="0" applyFont="1" applyAlignment="1">
      <alignment horizontal="center"/>
    </xf>
    <xf numFmtId="0" fontId="15" fillId="0" borderId="0" xfId="0" applyFont="1" applyAlignment="1">
      <alignment horizontal="right"/>
    </xf>
    <xf numFmtId="0" fontId="16" fillId="0" borderId="0" xfId="0" applyFont="1"/>
    <xf numFmtId="0" fontId="0" fillId="0" borderId="0" xfId="0" applyAlignment="1">
      <alignment vertical="top"/>
    </xf>
    <xf numFmtId="0" fontId="0" fillId="0" borderId="0" xfId="0" applyAlignment="1">
      <alignment vertical="top" wrapText="1"/>
    </xf>
    <xf numFmtId="0" fontId="2" fillId="0" borderId="1" xfId="0" applyFont="1" applyBorder="1" applyAlignment="1">
      <alignment horizontal="left" wrapText="1"/>
    </xf>
    <xf numFmtId="0" fontId="0" fillId="11" borderId="0" xfId="0" applyFill="1"/>
    <xf numFmtId="0" fontId="34" fillId="0" borderId="0" xfId="0" applyFont="1"/>
    <xf numFmtId="0" fontId="34" fillId="11" borderId="0" xfId="0" applyFont="1" applyFill="1"/>
    <xf numFmtId="0" fontId="10" fillId="12" borderId="0" xfId="0" applyFont="1" applyFill="1" applyAlignment="1">
      <alignment horizontal="center" vertical="top"/>
    </xf>
    <xf numFmtId="0" fontId="24" fillId="12" borderId="0" xfId="0" applyFont="1" applyFill="1" applyAlignment="1" applyProtection="1">
      <alignment horizontal="left" vertical="top" wrapText="1"/>
      <protection locked="0"/>
    </xf>
    <xf numFmtId="0" fontId="0" fillId="5" borderId="0" xfId="0" applyFill="1"/>
    <xf numFmtId="0" fontId="2" fillId="5" borderId="0" xfId="0" applyFont="1" applyFill="1"/>
    <xf numFmtId="0" fontId="0" fillId="5" borderId="0" xfId="0" applyFill="1" applyAlignment="1">
      <alignment vertical="center"/>
    </xf>
    <xf numFmtId="0" fontId="1" fillId="5" borderId="0" xfId="0" applyFont="1" applyFill="1"/>
    <xf numFmtId="0" fontId="24" fillId="3" borderId="0" xfId="0" applyFont="1" applyFill="1" applyAlignment="1">
      <alignment horizontal="center" vertical="center"/>
    </xf>
    <xf numFmtId="0" fontId="0" fillId="3" borderId="0" xfId="0" applyFill="1" applyAlignment="1">
      <alignment horizontal="left" vertical="top"/>
    </xf>
    <xf numFmtId="0" fontId="0" fillId="2" borderId="0" xfId="0" applyFill="1" applyAlignment="1">
      <alignment horizontal="left" vertical="top" wrapText="1"/>
    </xf>
    <xf numFmtId="0" fontId="22" fillId="2" borderId="0" xfId="0" applyFont="1" applyFill="1"/>
    <xf numFmtId="0" fontId="0" fillId="5" borderId="0" xfId="0" applyFill="1" applyAlignment="1">
      <alignment vertical="top" wrapText="1"/>
    </xf>
    <xf numFmtId="0" fontId="0" fillId="5" borderId="0" xfId="0" applyFill="1" applyAlignment="1">
      <alignment horizontal="left" vertical="top" wrapText="1"/>
    </xf>
    <xf numFmtId="0" fontId="0" fillId="5" borderId="0" xfId="0" applyFill="1" applyAlignment="1">
      <alignment wrapText="1"/>
    </xf>
    <xf numFmtId="0" fontId="20" fillId="2" borderId="0" xfId="0" applyFont="1" applyFill="1"/>
    <xf numFmtId="0" fontId="2" fillId="2" borderId="0" xfId="0" applyFont="1" applyFill="1"/>
    <xf numFmtId="0" fontId="13" fillId="2" borderId="0" xfId="1" applyFill="1" applyBorder="1" applyAlignment="1"/>
    <xf numFmtId="0" fontId="0" fillId="2" borderId="0" xfId="0" applyFill="1" applyAlignment="1">
      <alignment wrapText="1"/>
    </xf>
    <xf numFmtId="0" fontId="33" fillId="2" borderId="0" xfId="0" applyFont="1" applyFill="1" applyAlignment="1">
      <alignment horizontal="right"/>
    </xf>
    <xf numFmtId="0" fontId="33" fillId="2" borderId="0" xfId="0" applyFont="1" applyFill="1"/>
    <xf numFmtId="0" fontId="33" fillId="2" borderId="0" xfId="0" applyFont="1" applyFill="1" applyAlignment="1">
      <alignment horizontal="right" vertical="top" wrapText="1"/>
    </xf>
    <xf numFmtId="0" fontId="33" fillId="2" borderId="0" xfId="0" applyFont="1" applyFill="1" applyAlignment="1">
      <alignment horizontal="left" vertical="top" wrapText="1"/>
    </xf>
    <xf numFmtId="0" fontId="30" fillId="2" borderId="0" xfId="0" applyFont="1" applyFill="1"/>
    <xf numFmtId="0" fontId="1" fillId="0" borderId="14" xfId="0" applyFont="1" applyBorder="1"/>
    <xf numFmtId="0" fontId="4" fillId="2" borderId="0" xfId="0" applyFont="1" applyFill="1"/>
    <xf numFmtId="0" fontId="28" fillId="2" borderId="0" xfId="0" applyFont="1" applyFill="1"/>
    <xf numFmtId="0" fontId="0" fillId="2" borderId="0" xfId="0" applyFill="1" applyAlignment="1" applyProtection="1">
      <alignment horizontal="left" vertical="top" wrapText="1"/>
      <protection locked="0"/>
    </xf>
    <xf numFmtId="0" fontId="4" fillId="2" borderId="0" xfId="0" applyFont="1" applyFill="1" applyAlignment="1">
      <alignment vertical="top" wrapText="1"/>
    </xf>
    <xf numFmtId="0" fontId="4" fillId="2" borderId="0" xfId="0" applyFont="1" applyFill="1" applyAlignment="1">
      <alignment horizontal="left" vertical="top" wrapText="1"/>
    </xf>
    <xf numFmtId="0" fontId="4" fillId="2" borderId="0" xfId="0" applyFont="1" applyFill="1" applyAlignment="1">
      <alignment horizontal="right"/>
    </xf>
    <xf numFmtId="0" fontId="28" fillId="2" borderId="0" xfId="0" applyFont="1" applyFill="1" applyAlignment="1">
      <alignment horizontal="left"/>
    </xf>
    <xf numFmtId="0" fontId="29" fillId="2" borderId="0" xfId="0" applyFont="1" applyFill="1"/>
    <xf numFmtId="0" fontId="4" fillId="2" borderId="0" xfId="0" applyFont="1" applyFill="1" applyAlignment="1">
      <alignment vertical="top"/>
    </xf>
    <xf numFmtId="0" fontId="4" fillId="2" borderId="0" xfId="0" applyFont="1" applyFill="1" applyAlignment="1">
      <alignment wrapText="1"/>
    </xf>
    <xf numFmtId="0" fontId="28" fillId="2" borderId="0" xfId="0" applyFont="1" applyFill="1" applyAlignment="1">
      <alignment horizontal="center" vertical="top" wrapText="1"/>
    </xf>
    <xf numFmtId="0" fontId="0" fillId="2" borderId="0" xfId="0" applyFill="1" applyAlignment="1">
      <alignment horizontal="center"/>
    </xf>
    <xf numFmtId="0" fontId="3" fillId="2" borderId="0" xfId="1" applyFont="1" applyFill="1" applyBorder="1" applyAlignment="1">
      <alignment horizontal="center"/>
    </xf>
    <xf numFmtId="0" fontId="3" fillId="2" borderId="0" xfId="1" applyFont="1" applyFill="1" applyBorder="1" applyAlignment="1">
      <alignment horizontal="left"/>
    </xf>
    <xf numFmtId="0" fontId="3" fillId="2" borderId="0" xfId="1" applyFont="1" applyFill="1" applyBorder="1"/>
    <xf numFmtId="0" fontId="10" fillId="5" borderId="0" xfId="0" applyFont="1" applyFill="1" applyAlignment="1">
      <alignment horizontal="center"/>
    </xf>
    <xf numFmtId="0" fontId="16" fillId="5" borderId="0" xfId="0" applyFont="1" applyFill="1"/>
    <xf numFmtId="0" fontId="5" fillId="5" borderId="0" xfId="0" applyFont="1" applyFill="1"/>
    <xf numFmtId="0" fontId="0" fillId="5" borderId="0" xfId="0" applyFill="1" applyAlignment="1">
      <alignment vertical="top"/>
    </xf>
    <xf numFmtId="0" fontId="17" fillId="5" borderId="0" xfId="0" applyFont="1" applyFill="1"/>
    <xf numFmtId="0" fontId="16" fillId="5" borderId="0" xfId="0" applyFont="1" applyFill="1" applyAlignment="1">
      <alignment vertical="top"/>
    </xf>
    <xf numFmtId="0" fontId="5" fillId="0" borderId="0" xfId="0" applyFont="1" applyAlignment="1">
      <alignment vertical="top"/>
    </xf>
    <xf numFmtId="0" fontId="23" fillId="2" borderId="0" xfId="0" applyFont="1" applyFill="1" applyAlignment="1">
      <alignment horizontal="left" vertical="center"/>
    </xf>
    <xf numFmtId="0" fontId="0" fillId="5" borderId="0" xfId="0" applyFill="1" applyAlignment="1">
      <alignment horizontal="center"/>
    </xf>
    <xf numFmtId="0" fontId="3" fillId="2" borderId="0" xfId="0" applyFont="1" applyFill="1" applyAlignment="1">
      <alignment horizontal="left"/>
    </xf>
    <xf numFmtId="0" fontId="1" fillId="2" borderId="0" xfId="0" applyFont="1" applyFill="1" applyAlignment="1">
      <alignment horizontal="left"/>
    </xf>
    <xf numFmtId="0" fontId="1" fillId="2" borderId="8" xfId="0" applyFont="1" applyFill="1" applyBorder="1" applyAlignment="1">
      <alignment horizontal="left"/>
    </xf>
    <xf numFmtId="0" fontId="5" fillId="2" borderId="0" xfId="0" applyFont="1" applyFill="1" applyAlignment="1">
      <alignment vertical="top"/>
    </xf>
    <xf numFmtId="0" fontId="16" fillId="2" borderId="0" xfId="0" applyFont="1" applyFill="1" applyAlignment="1">
      <alignment vertical="top"/>
    </xf>
    <xf numFmtId="0" fontId="21" fillId="2" borderId="0" xfId="0" applyFont="1" applyFill="1" applyAlignment="1">
      <alignment horizontal="center"/>
    </xf>
    <xf numFmtId="0" fontId="23" fillId="5" borderId="0" xfId="0" applyFont="1" applyFill="1" applyAlignment="1">
      <alignment vertical="center"/>
    </xf>
    <xf numFmtId="0" fontId="1" fillId="2" borderId="0" xfId="0" applyFont="1" applyFill="1" applyAlignment="1">
      <alignment wrapText="1"/>
    </xf>
    <xf numFmtId="0" fontId="0" fillId="5" borderId="0" xfId="0" applyFill="1" applyAlignment="1">
      <alignment horizontal="center" vertical="center"/>
    </xf>
    <xf numFmtId="0" fontId="5" fillId="5" borderId="0" xfId="0" applyFont="1" applyFill="1" applyAlignment="1">
      <alignment vertical="center"/>
    </xf>
    <xf numFmtId="0" fontId="24" fillId="0" borderId="11" xfId="0" applyFont="1" applyBorder="1" applyAlignment="1">
      <alignment horizontal="center" vertical="center"/>
    </xf>
    <xf numFmtId="0" fontId="2" fillId="3" borderId="0" xfId="0" applyFont="1" applyFill="1" applyAlignment="1">
      <alignment vertical="center"/>
    </xf>
    <xf numFmtId="0" fontId="0" fillId="3" borderId="0" xfId="0" applyFill="1" applyAlignment="1">
      <alignment horizontal="left" vertical="top" wrapText="1"/>
    </xf>
    <xf numFmtId="0" fontId="24" fillId="5" borderId="0" xfId="0" applyFont="1"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0" borderId="0" xfId="0" applyAlignment="1">
      <alignment horizontal="left" vertical="center"/>
    </xf>
    <xf numFmtId="0" fontId="2" fillId="5" borderId="0" xfId="0" applyFont="1" applyFill="1" applyAlignment="1">
      <alignment horizontal="left" vertical="center" wrapText="1"/>
    </xf>
    <xf numFmtId="0" fontId="0" fillId="5" borderId="0" xfId="0" applyFill="1" applyAlignment="1">
      <alignment horizontal="left" vertical="center" wrapText="1"/>
    </xf>
    <xf numFmtId="0" fontId="2" fillId="5" borderId="0" xfId="0" applyFont="1" applyFill="1" applyAlignment="1">
      <alignment horizontal="left" vertical="top" wrapText="1"/>
    </xf>
    <xf numFmtId="0" fontId="10" fillId="2" borderId="0" xfId="0" applyFont="1" applyFill="1" applyAlignment="1">
      <alignment horizontal="center"/>
    </xf>
    <xf numFmtId="0" fontId="15" fillId="2" borderId="0" xfId="0" applyFont="1" applyFill="1"/>
    <xf numFmtId="0" fontId="15" fillId="2" borderId="0" xfId="0" applyFont="1" applyFill="1" applyAlignment="1">
      <alignment horizontal="right"/>
    </xf>
    <xf numFmtId="0" fontId="6" fillId="2" borderId="0" xfId="0" applyFont="1" applyFill="1" applyAlignment="1">
      <alignment horizontal="right" wrapText="1"/>
    </xf>
    <xf numFmtId="0" fontId="0" fillId="2" borderId="0" xfId="0" applyFill="1" applyAlignment="1">
      <alignment vertical="center"/>
    </xf>
    <xf numFmtId="0" fontId="0" fillId="3" borderId="0" xfId="0" applyFill="1" applyProtection="1">
      <protection locked="0"/>
    </xf>
    <xf numFmtId="0" fontId="17" fillId="3" borderId="0" xfId="0" applyFont="1" applyFill="1" applyProtection="1">
      <protection locked="0"/>
    </xf>
    <xf numFmtId="0" fontId="5" fillId="10" borderId="1" xfId="0" applyFont="1" applyFill="1" applyBorder="1" applyAlignment="1" applyProtection="1">
      <alignment vertical="center"/>
      <protection locked="0"/>
    </xf>
    <xf numFmtId="0" fontId="24" fillId="3" borderId="0" xfId="0" applyFont="1" applyFill="1" applyProtection="1">
      <protection locked="0"/>
    </xf>
    <xf numFmtId="0" fontId="0" fillId="2" borderId="0" xfId="0" applyFill="1" applyProtection="1">
      <protection locked="0"/>
    </xf>
    <xf numFmtId="0" fontId="5" fillId="10" borderId="1" xfId="0" applyFont="1" applyFill="1" applyBorder="1" applyAlignment="1" applyProtection="1">
      <alignment horizontal="left" vertical="center"/>
      <protection locked="0"/>
    </xf>
    <xf numFmtId="0" fontId="24" fillId="2" borderId="1" xfId="0" applyFont="1" applyFill="1" applyBorder="1" applyAlignment="1">
      <alignment horizontal="left" vertical="top" wrapText="1"/>
    </xf>
    <xf numFmtId="0" fontId="24" fillId="2" borderId="1" xfId="0" applyFont="1" applyFill="1" applyBorder="1" applyAlignment="1" applyProtection="1">
      <alignment horizontal="left" vertical="top" wrapText="1"/>
      <protection locked="0"/>
    </xf>
    <xf numFmtId="0" fontId="24" fillId="2" borderId="1" xfId="0" applyFont="1" applyFill="1" applyBorder="1" applyAlignment="1" applyProtection="1">
      <alignment vertical="top" wrapText="1"/>
      <protection locked="0"/>
    </xf>
    <xf numFmtId="49" fontId="24" fillId="2" borderId="1" xfId="0" applyNumberFormat="1" applyFont="1" applyFill="1" applyBorder="1" applyAlignment="1">
      <alignment horizontal="left" vertical="top" wrapText="1"/>
    </xf>
    <xf numFmtId="0" fontId="24" fillId="2" borderId="1" xfId="0" applyFont="1" applyFill="1" applyBorder="1" applyProtection="1">
      <protection locked="0"/>
    </xf>
    <xf numFmtId="0" fontId="5" fillId="10" borderId="1" xfId="0" applyFont="1" applyFill="1" applyBorder="1" applyAlignment="1" applyProtection="1">
      <alignment horizontal="center" vertical="center" wrapText="1"/>
      <protection locked="0"/>
    </xf>
    <xf numFmtId="0" fontId="41" fillId="3" borderId="0" xfId="0" applyFont="1" applyFill="1" applyAlignment="1" applyProtection="1">
      <alignment vertical="top" wrapText="1"/>
      <protection locked="0"/>
    </xf>
    <xf numFmtId="0" fontId="5" fillId="10" borderId="1" xfId="0" applyFont="1" applyFill="1" applyBorder="1" applyAlignment="1" applyProtection="1">
      <alignment horizontal="center" vertical="center"/>
      <protection locked="0"/>
    </xf>
    <xf numFmtId="0" fontId="16" fillId="3" borderId="0" xfId="0" applyFont="1" applyFill="1" applyProtection="1">
      <protection locked="0"/>
    </xf>
    <xf numFmtId="0" fontId="5" fillId="3" borderId="0" xfId="0" applyFont="1" applyFill="1" applyAlignment="1" applyProtection="1">
      <alignment horizontal="center" vertical="center"/>
      <protection locked="0"/>
    </xf>
    <xf numFmtId="0" fontId="16" fillId="3" borderId="0" xfId="0" applyFont="1" applyFill="1" applyAlignment="1" applyProtection="1">
      <alignment vertical="center" wrapText="1"/>
      <protection locked="0"/>
    </xf>
    <xf numFmtId="0" fontId="17" fillId="2" borderId="0" xfId="0" applyFont="1" applyFill="1" applyProtection="1">
      <protection locked="0"/>
    </xf>
    <xf numFmtId="0" fontId="0" fillId="2" borderId="0" xfId="0" applyFill="1" applyAlignment="1" applyProtection="1">
      <alignment vertical="top" wrapText="1"/>
      <protection locked="0"/>
    </xf>
    <xf numFmtId="0" fontId="16" fillId="2" borderId="0" xfId="0" applyFont="1" applyFill="1" applyAlignment="1" applyProtection="1">
      <alignment vertical="center" wrapText="1"/>
      <protection locked="0"/>
    </xf>
    <xf numFmtId="0" fontId="51" fillId="2" borderId="1" xfId="0" applyFont="1" applyFill="1" applyBorder="1" applyAlignment="1">
      <alignment horizontal="center" vertical="center"/>
    </xf>
    <xf numFmtId="0" fontId="52" fillId="2" borderId="1" xfId="0" applyFont="1" applyFill="1" applyBorder="1" applyAlignment="1">
      <alignment horizontal="center" vertical="center"/>
    </xf>
    <xf numFmtId="0" fontId="5" fillId="10" borderId="0" xfId="0" applyFont="1" applyFill="1" applyAlignment="1">
      <alignment vertical="center"/>
    </xf>
    <xf numFmtId="0" fontId="16" fillId="3" borderId="0" xfId="0" applyFont="1" applyFill="1" applyAlignment="1" applyProtection="1">
      <alignment vertical="center"/>
      <protection locked="0"/>
    </xf>
    <xf numFmtId="0" fontId="16" fillId="3" borderId="0" xfId="0" applyFont="1" applyFill="1" applyAlignment="1">
      <alignment vertical="center"/>
    </xf>
    <xf numFmtId="0" fontId="16" fillId="2" borderId="0" xfId="0" applyFont="1" applyFill="1" applyAlignment="1" applyProtection="1">
      <alignment vertical="center"/>
      <protection locked="0"/>
    </xf>
    <xf numFmtId="0" fontId="16" fillId="2" borderId="0" xfId="0" applyFont="1" applyFill="1" applyAlignment="1">
      <alignment vertical="center"/>
    </xf>
    <xf numFmtId="0" fontId="16" fillId="0" borderId="0" xfId="0" applyFont="1" applyAlignment="1" applyProtection="1">
      <alignment vertical="center"/>
      <protection locked="0"/>
    </xf>
    <xf numFmtId="0" fontId="16" fillId="3" borderId="0" xfId="0" applyFont="1" applyFill="1"/>
    <xf numFmtId="0" fontId="16" fillId="0" borderId="0" xfId="0" applyFont="1" applyProtection="1">
      <protection locked="0"/>
    </xf>
    <xf numFmtId="0" fontId="17" fillId="5" borderId="0" xfId="0" applyFont="1" applyFill="1" applyAlignment="1">
      <alignment vertical="center"/>
    </xf>
    <xf numFmtId="0" fontId="17" fillId="3" borderId="0" xfId="0" applyFont="1" applyFill="1" applyAlignment="1">
      <alignment vertical="center"/>
    </xf>
    <xf numFmtId="0" fontId="23" fillId="3" borderId="0" xfId="0" applyFont="1" applyFill="1" applyAlignment="1">
      <alignment vertical="center" wrapText="1"/>
    </xf>
    <xf numFmtId="0" fontId="23" fillId="3" borderId="0" xfId="0" applyFont="1" applyFill="1" applyAlignment="1">
      <alignment horizontal="center" vertical="center"/>
    </xf>
    <xf numFmtId="0" fontId="17" fillId="0" borderId="0" xfId="0" applyFont="1" applyAlignment="1">
      <alignment vertical="center"/>
    </xf>
    <xf numFmtId="0" fontId="17" fillId="3" borderId="0" xfId="0" applyFont="1" applyFill="1"/>
    <xf numFmtId="0" fontId="23" fillId="3" borderId="0" xfId="0" applyFont="1" applyFill="1" applyAlignment="1">
      <alignment horizontal="left" vertical="center"/>
    </xf>
    <xf numFmtId="0" fontId="5" fillId="10" borderId="14" xfId="0" applyFont="1" applyFill="1" applyBorder="1" applyAlignment="1" applyProtection="1">
      <alignment horizontal="center" vertical="center"/>
      <protection locked="0"/>
    </xf>
    <xf numFmtId="16" fontId="0" fillId="0" borderId="1" xfId="0" applyNumberFormat="1" applyBorder="1"/>
    <xf numFmtId="0" fontId="0" fillId="0" borderId="1" xfId="0" applyBorder="1" applyAlignment="1">
      <alignment horizontal="left"/>
    </xf>
    <xf numFmtId="0" fontId="0" fillId="11" borderId="1" xfId="0" applyFill="1" applyBorder="1"/>
    <xf numFmtId="0" fontId="0" fillId="16" borderId="0" xfId="0" applyFill="1"/>
    <xf numFmtId="0" fontId="0" fillId="15" borderId="0" xfId="0" applyFill="1"/>
    <xf numFmtId="164" fontId="0" fillId="15" borderId="0" xfId="0" applyNumberFormat="1" applyFill="1"/>
    <xf numFmtId="0" fontId="16" fillId="2" borderId="1" xfId="0" applyFont="1" applyFill="1" applyBorder="1" applyAlignment="1" applyProtection="1">
      <alignment horizontal="center" vertical="center" wrapText="1"/>
      <protection locked="0"/>
    </xf>
    <xf numFmtId="0" fontId="17" fillId="2" borderId="1" xfId="0" applyFont="1" applyFill="1" applyBorder="1" applyAlignment="1" applyProtection="1">
      <alignment horizontal="center" vertical="center"/>
      <protection locked="0"/>
    </xf>
    <xf numFmtId="0" fontId="17" fillId="10" borderId="1" xfId="0" applyFont="1" applyFill="1" applyBorder="1" applyAlignment="1">
      <alignment vertical="center" wrapText="1"/>
    </xf>
    <xf numFmtId="0" fontId="16" fillId="2" borderId="1" xfId="0" applyFont="1" applyFill="1" applyBorder="1" applyAlignment="1">
      <alignment horizontal="left" vertical="center" wrapText="1"/>
    </xf>
    <xf numFmtId="0" fontId="55" fillId="2" borderId="1" xfId="0" applyFont="1" applyFill="1" applyBorder="1" applyAlignment="1" applyProtection="1">
      <alignment horizontal="left" vertical="center"/>
      <protection locked="0"/>
    </xf>
    <xf numFmtId="0" fontId="0" fillId="11" borderId="0" xfId="0" applyFill="1" applyAlignment="1">
      <alignment horizontal="left" vertical="center"/>
    </xf>
    <xf numFmtId="0" fontId="0" fillId="2" borderId="0" xfId="0" applyFill="1" applyAlignment="1">
      <alignment horizontal="left" vertical="center"/>
    </xf>
    <xf numFmtId="0" fontId="0" fillId="2" borderId="0" xfId="0" applyFill="1" applyAlignment="1">
      <alignment horizontal="left" vertical="center" wrapText="1"/>
    </xf>
    <xf numFmtId="0" fontId="0" fillId="2" borderId="0" xfId="0" applyFill="1" applyAlignment="1">
      <alignment horizontal="left" vertical="top"/>
    </xf>
    <xf numFmtId="0" fontId="0" fillId="4" borderId="1" xfId="0" applyFill="1" applyBorder="1"/>
    <xf numFmtId="0" fontId="0" fillId="5" borderId="1" xfId="0" applyFill="1" applyBorder="1"/>
    <xf numFmtId="0" fontId="0" fillId="8" borderId="1" xfId="0" applyFill="1" applyBorder="1"/>
    <xf numFmtId="0" fontId="0" fillId="6" borderId="1" xfId="0" applyFill="1" applyBorder="1"/>
    <xf numFmtId="0" fontId="0" fillId="7" borderId="1" xfId="0" applyFill="1" applyBorder="1"/>
    <xf numFmtId="0" fontId="0" fillId="2" borderId="1" xfId="0" applyFill="1" applyBorder="1"/>
    <xf numFmtId="0" fontId="58" fillId="0" borderId="0" xfId="0" applyFont="1"/>
    <xf numFmtId="0" fontId="58" fillId="0" borderId="0" xfId="0" applyFont="1" applyAlignment="1">
      <alignment horizontal="left"/>
    </xf>
    <xf numFmtId="0" fontId="58" fillId="5" borderId="0" xfId="0" applyFont="1" applyFill="1" applyAlignment="1">
      <alignment horizontal="left"/>
    </xf>
    <xf numFmtId="0" fontId="58" fillId="5" borderId="0" xfId="0" applyFont="1" applyFill="1"/>
    <xf numFmtId="0" fontId="5" fillId="2" borderId="0" xfId="0" applyFont="1" applyFill="1" applyAlignment="1">
      <alignment horizontal="center" vertical="center"/>
    </xf>
    <xf numFmtId="0" fontId="58" fillId="2" borderId="0" xfId="0" applyFont="1" applyFill="1" applyAlignment="1">
      <alignment horizontal="left"/>
    </xf>
    <xf numFmtId="0" fontId="58" fillId="2" borderId="0" xfId="0" applyFont="1" applyFill="1"/>
    <xf numFmtId="0" fontId="23" fillId="2" borderId="0" xfId="0" applyFont="1" applyFill="1" applyAlignment="1">
      <alignment horizontal="center"/>
    </xf>
    <xf numFmtId="0" fontId="61" fillId="2" borderId="0" xfId="0" applyFont="1" applyFill="1"/>
    <xf numFmtId="0" fontId="13" fillId="2" borderId="0" xfId="1" applyFill="1"/>
    <xf numFmtId="0" fontId="0" fillId="2" borderId="0" xfId="0" applyFill="1" applyAlignment="1">
      <alignment horizontal="left" vertical="top" wrapText="1"/>
    </xf>
    <xf numFmtId="0" fontId="0" fillId="2" borderId="0" xfId="0" applyFill="1" applyAlignment="1">
      <alignment vertical="top" wrapText="1"/>
    </xf>
    <xf numFmtId="0" fontId="0" fillId="0" borderId="1" xfId="0" applyFill="1" applyBorder="1"/>
    <xf numFmtId="0" fontId="63" fillId="2" borderId="0" xfId="0" applyFont="1" applyFill="1" applyAlignment="1">
      <alignment horizontal="center" vertical="center"/>
    </xf>
    <xf numFmtId="0" fontId="0" fillId="2" borderId="0" xfId="0" applyFill="1" applyAlignment="1">
      <alignment horizontal="left" vertical="top" wrapText="1"/>
    </xf>
    <xf numFmtId="0" fontId="0" fillId="2" borderId="0" xfId="0" applyFill="1" applyAlignment="1">
      <alignment horizontal="left" vertical="top"/>
    </xf>
    <xf numFmtId="0" fontId="13" fillId="2" borderId="0" xfId="1" applyFill="1" applyAlignment="1">
      <alignment horizontal="left" vertical="top"/>
    </xf>
    <xf numFmtId="0" fontId="56" fillId="2" borderId="0" xfId="0" applyFont="1" applyFill="1" applyAlignment="1">
      <alignment horizontal="left" vertical="top" wrapText="1"/>
    </xf>
    <xf numFmtId="0" fontId="0" fillId="0" borderId="0" xfId="0" applyFill="1" applyAlignment="1">
      <alignment horizontal="center" vertical="center" wrapText="1"/>
    </xf>
    <xf numFmtId="0" fontId="27" fillId="11" borderId="0" xfId="0" applyFont="1" applyFill="1" applyAlignment="1">
      <alignment horizontal="center"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4" fillId="3" borderId="0" xfId="0" applyFont="1" applyFill="1" applyAlignment="1">
      <alignment horizontal="left" vertical="center" wrapText="1"/>
    </xf>
    <xf numFmtId="0" fontId="2" fillId="2" borderId="1" xfId="0" applyFont="1" applyFill="1" applyBorder="1" applyAlignment="1">
      <alignment horizontal="center"/>
    </xf>
    <xf numFmtId="0" fontId="24" fillId="2" borderId="9" xfId="0" applyFont="1" applyFill="1" applyBorder="1" applyAlignment="1">
      <alignment horizontal="left" vertical="center" wrapText="1"/>
    </xf>
    <xf numFmtId="0" fontId="24" fillId="2" borderId="11" xfId="0" applyFont="1" applyFill="1" applyBorder="1" applyAlignment="1">
      <alignment horizontal="left" vertical="center" wrapText="1"/>
    </xf>
    <xf numFmtId="0" fontId="0" fillId="0" borderId="1" xfId="0" applyBorder="1" applyAlignment="1">
      <alignment horizontal="left" vertical="top" wrapText="1"/>
    </xf>
    <xf numFmtId="0" fontId="2" fillId="3" borderId="1" xfId="0" applyFont="1" applyFill="1" applyBorder="1" applyAlignment="1">
      <alignment horizontal="center"/>
    </xf>
    <xf numFmtId="0" fontId="39" fillId="3" borderId="4" xfId="0" applyFont="1" applyFill="1" applyBorder="1" applyAlignment="1">
      <alignment horizontal="center" vertical="top" wrapText="1"/>
    </xf>
    <xf numFmtId="0" fontId="24" fillId="2" borderId="1" xfId="0" applyFont="1" applyFill="1" applyBorder="1" applyAlignment="1">
      <alignment horizontal="left" vertical="top" wrapText="1"/>
    </xf>
    <xf numFmtId="0" fontId="0" fillId="0" borderId="1" xfId="0" applyBorder="1" applyAlignment="1">
      <alignment horizontal="left" vertical="center" wrapText="1"/>
    </xf>
    <xf numFmtId="0" fontId="42" fillId="2" borderId="0" xfId="0" applyFont="1" applyFill="1" applyAlignment="1">
      <alignment horizontal="left" vertical="top" wrapText="1"/>
    </xf>
    <xf numFmtId="0" fontId="0" fillId="13" borderId="0" xfId="0" applyFill="1" applyAlignment="1">
      <alignment horizontal="center" vertical="center"/>
    </xf>
    <xf numFmtId="0" fontId="0" fillId="14" borderId="0" xfId="0" applyFill="1" applyAlignment="1">
      <alignment horizontal="center"/>
    </xf>
    <xf numFmtId="0" fontId="19" fillId="2" borderId="0" xfId="0" applyFont="1" applyFill="1" applyAlignment="1">
      <alignment horizontal="left" vertical="center"/>
    </xf>
    <xf numFmtId="0" fontId="3" fillId="13" borderId="0" xfId="0" applyFont="1" applyFill="1" applyAlignment="1">
      <alignment horizontal="center" vertical="center"/>
    </xf>
    <xf numFmtId="0" fontId="23" fillId="5" borderId="0" xfId="0" applyFont="1" applyFill="1" applyAlignment="1">
      <alignment horizontal="left" vertical="center"/>
    </xf>
    <xf numFmtId="0" fontId="0" fillId="13" borderId="0" xfId="0" applyFill="1" applyAlignment="1">
      <alignment horizontal="center"/>
    </xf>
    <xf numFmtId="0" fontId="33" fillId="2" borderId="0" xfId="0" applyFont="1" applyFill="1" applyAlignment="1">
      <alignment horizontal="left" vertical="top" wrapText="1"/>
    </xf>
    <xf numFmtId="0" fontId="0" fillId="2" borderId="0" xfId="0" applyFill="1" applyAlignment="1">
      <alignment horizontal="left" wrapText="1"/>
    </xf>
    <xf numFmtId="0" fontId="13" fillId="2" borderId="0" xfId="1" applyFill="1" applyBorder="1" applyAlignment="1">
      <alignment horizontal="center" vertical="top" wrapText="1"/>
    </xf>
    <xf numFmtId="0" fontId="10" fillId="2" borderId="0" xfId="0" applyFont="1" applyFill="1" applyAlignment="1">
      <alignment horizontal="center"/>
    </xf>
    <xf numFmtId="0" fontId="0" fillId="2" borderId="9" xfId="0" applyFill="1" applyBorder="1" applyAlignment="1" applyProtection="1">
      <alignment horizontal="left" wrapText="1"/>
      <protection locked="0"/>
    </xf>
    <xf numFmtId="0" fontId="0" fillId="2" borderId="10" xfId="0" applyFill="1" applyBorder="1" applyAlignment="1" applyProtection="1">
      <alignment horizontal="left" wrapText="1"/>
      <protection locked="0"/>
    </xf>
    <xf numFmtId="0" fontId="0" fillId="2" borderId="11" xfId="0" applyFill="1" applyBorder="1" applyAlignment="1" applyProtection="1">
      <alignment horizontal="left" wrapText="1"/>
      <protection locked="0"/>
    </xf>
    <xf numFmtId="0" fontId="0" fillId="2" borderId="9" xfId="0" applyFill="1" applyBorder="1" applyAlignment="1" applyProtection="1">
      <alignment horizontal="left"/>
      <protection locked="0"/>
    </xf>
    <xf numFmtId="0" fontId="0" fillId="2" borderId="10" xfId="0" applyFill="1" applyBorder="1" applyAlignment="1" applyProtection="1">
      <alignment horizontal="left"/>
      <protection locked="0"/>
    </xf>
    <xf numFmtId="0" fontId="0" fillId="2" borderId="11" xfId="0" applyFill="1" applyBorder="1" applyAlignment="1" applyProtection="1">
      <alignment horizontal="left"/>
      <protection locked="0"/>
    </xf>
    <xf numFmtId="0" fontId="4" fillId="2" borderId="0" xfId="0" applyFont="1" applyFill="1" applyAlignment="1">
      <alignment vertical="top" wrapText="1"/>
    </xf>
    <xf numFmtId="0" fontId="4" fillId="2" borderId="0" xfId="0" applyFont="1" applyFill="1" applyAlignment="1">
      <alignment horizontal="left" vertical="top" wrapText="1"/>
    </xf>
    <xf numFmtId="0" fontId="4" fillId="2" borderId="0" xfId="0" applyFont="1" applyFill="1" applyAlignment="1">
      <alignment horizontal="center" wrapText="1"/>
    </xf>
    <xf numFmtId="0" fontId="25" fillId="2" borderId="0" xfId="1" applyFont="1" applyFill="1" applyBorder="1" applyAlignment="1">
      <alignment horizontal="center" vertical="top" wrapText="1"/>
    </xf>
    <xf numFmtId="0" fontId="28" fillId="2" borderId="0" xfId="0" applyFont="1" applyFill="1" applyAlignment="1">
      <alignment horizontal="center" vertical="top" wrapText="1"/>
    </xf>
    <xf numFmtId="0" fontId="4" fillId="2" borderId="0" xfId="0" applyFont="1" applyFill="1" applyAlignment="1">
      <alignment horizontal="center" vertical="top" wrapText="1"/>
    </xf>
    <xf numFmtId="0" fontId="0" fillId="2" borderId="0" xfId="0" applyFill="1" applyAlignment="1">
      <alignment vertical="center" wrapText="1"/>
    </xf>
    <xf numFmtId="0" fontId="0" fillId="2" borderId="1" xfId="0" applyFill="1" applyBorder="1" applyAlignment="1" applyProtection="1">
      <alignment horizontal="left" vertical="top" wrapText="1"/>
      <protection locked="0"/>
    </xf>
    <xf numFmtId="0" fontId="0" fillId="2" borderId="0" xfId="0" applyFill="1" applyAlignment="1">
      <alignment vertical="top" wrapText="1"/>
    </xf>
    <xf numFmtId="0" fontId="5" fillId="5" borderId="0" xfId="0" applyFont="1" applyFill="1" applyAlignment="1">
      <alignment horizontal="center" vertical="center"/>
    </xf>
    <xf numFmtId="0" fontId="0" fillId="2" borderId="0" xfId="0" applyFill="1" applyAlignment="1">
      <alignment horizontal="left"/>
    </xf>
    <xf numFmtId="0" fontId="4" fillId="2" borderId="0" xfId="0" applyFont="1" applyFill="1" applyAlignment="1">
      <alignment horizontal="center" vertical="center" wrapText="1"/>
    </xf>
    <xf numFmtId="0" fontId="59" fillId="2" borderId="0" xfId="0" applyFont="1" applyFill="1" applyAlignment="1">
      <alignment horizontal="center" vertical="center" wrapText="1"/>
    </xf>
    <xf numFmtId="0" fontId="0" fillId="2" borderId="9" xfId="0" applyFill="1" applyBorder="1" applyAlignment="1" applyProtection="1">
      <alignment horizontal="left" vertical="top"/>
      <protection locked="0"/>
    </xf>
    <xf numFmtId="0" fontId="0" fillId="2" borderId="10" xfId="0" applyFill="1" applyBorder="1" applyAlignment="1" applyProtection="1">
      <alignment horizontal="left" vertical="top"/>
      <protection locked="0"/>
    </xf>
    <xf numFmtId="0" fontId="0" fillId="2" borderId="11" xfId="0" applyFill="1" applyBorder="1" applyAlignment="1" applyProtection="1">
      <alignment horizontal="left" vertical="top"/>
      <protection locked="0"/>
    </xf>
    <xf numFmtId="0" fontId="0" fillId="2" borderId="9" xfId="0" applyFill="1" applyBorder="1" applyAlignment="1" applyProtection="1">
      <alignment horizontal="left" vertical="top" wrapText="1"/>
      <protection locked="0"/>
    </xf>
    <xf numFmtId="0" fontId="0" fillId="2" borderId="10" xfId="0" applyFill="1" applyBorder="1" applyAlignment="1" applyProtection="1">
      <alignment horizontal="left" vertical="top" wrapText="1"/>
      <protection locked="0"/>
    </xf>
    <xf numFmtId="0" fontId="0" fillId="2" borderId="11" xfId="0" applyFill="1" applyBorder="1" applyAlignment="1" applyProtection="1">
      <alignment horizontal="left" vertical="top" wrapText="1"/>
      <protection locked="0"/>
    </xf>
    <xf numFmtId="49" fontId="0" fillId="2" borderId="1" xfId="0" applyNumberFormat="1" applyFill="1" applyBorder="1" applyAlignment="1" applyProtection="1">
      <alignment horizontal="left" vertical="top" wrapText="1"/>
      <protection locked="0"/>
    </xf>
    <xf numFmtId="0" fontId="19" fillId="0" borderId="0" xfId="0" applyFont="1" applyAlignment="1">
      <alignment horizontal="left" vertical="center"/>
    </xf>
    <xf numFmtId="49" fontId="0" fillId="2" borderId="9" xfId="0" applyNumberFormat="1" applyFill="1" applyBorder="1" applyAlignment="1" applyProtection="1">
      <alignment horizontal="left" vertical="top" wrapText="1"/>
      <protection locked="0"/>
    </xf>
    <xf numFmtId="49" fontId="0" fillId="2" borderId="10" xfId="0" applyNumberFormat="1" applyFill="1" applyBorder="1" applyAlignment="1" applyProtection="1">
      <alignment horizontal="left" vertical="top" wrapText="1"/>
      <protection locked="0"/>
    </xf>
    <xf numFmtId="49" fontId="0" fillId="2" borderId="11" xfId="0" applyNumberFormat="1" applyFill="1" applyBorder="1" applyAlignment="1" applyProtection="1">
      <alignment horizontal="left" vertical="top" wrapText="1"/>
      <protection locked="0"/>
    </xf>
    <xf numFmtId="0" fontId="0" fillId="11" borderId="14" xfId="0" applyFill="1" applyBorder="1" applyAlignment="1">
      <alignment horizontal="left" vertical="top"/>
    </xf>
    <xf numFmtId="0" fontId="0" fillId="11" borderId="15" xfId="0" applyFill="1" applyBorder="1" applyAlignment="1">
      <alignment horizontal="left" vertical="top"/>
    </xf>
    <xf numFmtId="0" fontId="0" fillId="11" borderId="16" xfId="0" applyFill="1" applyBorder="1" applyAlignment="1">
      <alignment horizontal="left" vertical="top"/>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16" fillId="0" borderId="1" xfId="0" applyFon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4" fillId="4" borderId="1" xfId="0" applyFont="1" applyFill="1" applyBorder="1" applyAlignment="1">
      <alignment horizontal="center"/>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3" xfId="0" applyFont="1" applyBorder="1" applyAlignment="1">
      <alignment horizontal="center" vertical="center" wrapText="1"/>
    </xf>
    <xf numFmtId="0" fontId="0" fillId="5" borderId="14" xfId="0"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5" fillId="0" borderId="1" xfId="0" applyFont="1" applyBorder="1" applyAlignment="1">
      <alignment horizontal="center"/>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6" borderId="14" xfId="0" applyFill="1" applyBorder="1" applyAlignment="1">
      <alignment horizontal="center"/>
    </xf>
    <xf numFmtId="0" fontId="0" fillId="6" borderId="15" xfId="0" applyFill="1" applyBorder="1" applyAlignment="1">
      <alignment horizontal="center"/>
    </xf>
    <xf numFmtId="0" fontId="0" fillId="6" borderId="16" xfId="0" applyFill="1" applyBorder="1" applyAlignment="1">
      <alignment horizontal="center"/>
    </xf>
    <xf numFmtId="0" fontId="0" fillId="7" borderId="14" xfId="0" applyFill="1" applyBorder="1" applyAlignment="1">
      <alignment horizontal="center"/>
    </xf>
    <xf numFmtId="0" fontId="0" fillId="7" borderId="15" xfId="0" applyFill="1" applyBorder="1" applyAlignment="1">
      <alignment horizontal="center"/>
    </xf>
    <xf numFmtId="0" fontId="0" fillId="7" borderId="16" xfId="0" applyFill="1" applyBorder="1" applyAlignment="1">
      <alignment horizontal="center"/>
    </xf>
    <xf numFmtId="0" fontId="5" fillId="10" borderId="9" xfId="0" applyFont="1" applyFill="1" applyBorder="1" applyAlignment="1" applyProtection="1">
      <alignment horizontal="right" vertical="center"/>
      <protection locked="0"/>
    </xf>
    <xf numFmtId="0" fontId="5" fillId="10" borderId="11" xfId="0" applyFont="1" applyFill="1" applyBorder="1" applyAlignment="1" applyProtection="1">
      <alignment horizontal="right" vertical="center"/>
      <protection locked="0"/>
    </xf>
    <xf numFmtId="0" fontId="41" fillId="3" borderId="0" xfId="0" applyFont="1" applyFill="1" applyAlignment="1" applyProtection="1">
      <alignment horizontal="left" vertical="center" wrapText="1"/>
      <protection locked="0"/>
    </xf>
    <xf numFmtId="0" fontId="5" fillId="10" borderId="9" xfId="0" applyFont="1" applyFill="1" applyBorder="1" applyAlignment="1">
      <alignment horizontal="left" vertical="top" wrapText="1"/>
    </xf>
    <xf numFmtId="0" fontId="5" fillId="10" borderId="10" xfId="0" applyFont="1" applyFill="1" applyBorder="1" applyAlignment="1">
      <alignment horizontal="left" vertical="top" wrapText="1"/>
    </xf>
    <xf numFmtId="0" fontId="16" fillId="2" borderId="1" xfId="0" applyFont="1" applyFill="1" applyBorder="1" applyAlignment="1">
      <alignment horizontal="left" vertical="top" wrapText="1"/>
    </xf>
    <xf numFmtId="0" fontId="5" fillId="10" borderId="1" xfId="0" applyFont="1" applyFill="1" applyBorder="1" applyAlignment="1" applyProtection="1">
      <alignment horizontal="left" vertical="center"/>
      <protection locked="0"/>
    </xf>
    <xf numFmtId="0" fontId="5" fillId="10" borderId="11" xfId="0" applyFont="1" applyFill="1" applyBorder="1" applyAlignment="1">
      <alignment horizontal="left" vertical="top" wrapText="1"/>
    </xf>
    <xf numFmtId="0" fontId="53" fillId="3" borderId="9" xfId="0" applyFont="1" applyFill="1" applyBorder="1" applyAlignment="1" applyProtection="1">
      <alignment horizontal="left" vertical="center" wrapText="1"/>
      <protection locked="0"/>
    </xf>
    <xf numFmtId="0" fontId="53" fillId="3" borderId="10" xfId="0" applyFont="1" applyFill="1" applyBorder="1" applyAlignment="1" applyProtection="1">
      <alignment horizontal="left" vertical="center" wrapText="1"/>
      <protection locked="0"/>
    </xf>
    <xf numFmtId="0" fontId="5" fillId="3" borderId="0" xfId="0" applyFont="1" applyFill="1" applyAlignment="1" applyProtection="1">
      <alignment horizontal="center"/>
      <protection locked="0"/>
    </xf>
    <xf numFmtId="0" fontId="24" fillId="10" borderId="3" xfId="0" applyFont="1" applyFill="1" applyBorder="1" applyAlignment="1" applyProtection="1">
      <alignment horizontal="left" vertical="center" wrapText="1"/>
      <protection locked="0"/>
    </xf>
    <xf numFmtId="0" fontId="24" fillId="10" borderId="4" xfId="0" applyFont="1" applyFill="1" applyBorder="1" applyAlignment="1" applyProtection="1">
      <alignment horizontal="left" vertical="center" wrapText="1"/>
      <protection locked="0"/>
    </xf>
    <xf numFmtId="0" fontId="24" fillId="10" borderId="12" xfId="0" applyFont="1" applyFill="1" applyBorder="1" applyAlignment="1" applyProtection="1">
      <alignment horizontal="left" vertical="center" wrapText="1"/>
      <protection locked="0"/>
    </xf>
    <xf numFmtId="0" fontId="24" fillId="10" borderId="7" xfId="0" applyFont="1" applyFill="1" applyBorder="1" applyAlignment="1" applyProtection="1">
      <alignment horizontal="left" vertical="center" wrapText="1"/>
      <protection locked="0"/>
    </xf>
    <xf numFmtId="0" fontId="24" fillId="10" borderId="8" xfId="0" applyFont="1" applyFill="1" applyBorder="1" applyAlignment="1" applyProtection="1">
      <alignment horizontal="left" vertical="center" wrapText="1"/>
      <protection locked="0"/>
    </xf>
    <xf numFmtId="0" fontId="24" fillId="10" borderId="13" xfId="0" applyFont="1" applyFill="1" applyBorder="1" applyAlignment="1" applyProtection="1">
      <alignment horizontal="left" vertical="center" wrapText="1"/>
      <protection locked="0"/>
    </xf>
    <xf numFmtId="0" fontId="5" fillId="10" borderId="1" xfId="0" applyFont="1" applyFill="1" applyBorder="1" applyAlignment="1" applyProtection="1">
      <alignment horizontal="center" wrapText="1"/>
      <protection locked="0"/>
    </xf>
    <xf numFmtId="14" fontId="16" fillId="2" borderId="1" xfId="0" applyNumberFormat="1" applyFont="1" applyFill="1" applyBorder="1" applyAlignment="1">
      <alignment horizontal="left" vertical="top" wrapText="1"/>
    </xf>
    <xf numFmtId="0" fontId="5" fillId="10" borderId="1" xfId="0" applyFont="1" applyFill="1" applyBorder="1" applyAlignment="1" applyProtection="1">
      <alignment horizontal="center"/>
      <protection locked="0"/>
    </xf>
    <xf numFmtId="0" fontId="16" fillId="2" borderId="1" xfId="0" applyFont="1" applyFill="1" applyBorder="1" applyAlignment="1" applyProtection="1">
      <alignment horizontal="left" vertical="top"/>
      <protection locked="0"/>
    </xf>
    <xf numFmtId="0" fontId="32" fillId="3" borderId="9" xfId="0" applyFont="1" applyFill="1" applyBorder="1" applyAlignment="1" applyProtection="1">
      <alignment horizontal="center" vertical="center"/>
      <protection locked="0"/>
    </xf>
    <xf numFmtId="0" fontId="32" fillId="3" borderId="11" xfId="0" applyFont="1" applyFill="1" applyBorder="1" applyAlignment="1" applyProtection="1">
      <alignment horizontal="center" vertical="center"/>
      <protection locked="0"/>
    </xf>
    <xf numFmtId="0" fontId="0" fillId="0" borderId="0" xfId="0" applyAlignment="1" applyProtection="1">
      <alignment horizontal="center"/>
      <protection locked="0"/>
    </xf>
    <xf numFmtId="0" fontId="50" fillId="0" borderId="0" xfId="0" applyFont="1" applyAlignment="1" applyProtection="1">
      <alignment horizontal="center" vertical="center" wrapText="1"/>
      <protection locked="0"/>
    </xf>
    <xf numFmtId="0" fontId="16" fillId="3" borderId="0" xfId="0" applyFont="1" applyFill="1" applyAlignment="1" applyProtection="1">
      <alignment horizontal="left" vertical="top" wrapText="1"/>
      <protection locked="0"/>
    </xf>
    <xf numFmtId="0" fontId="16" fillId="3" borderId="0" xfId="0" applyFont="1" applyFill="1" applyAlignment="1" applyProtection="1">
      <alignment horizontal="left" vertical="top"/>
      <protection locked="0"/>
    </xf>
    <xf numFmtId="0" fontId="16" fillId="2" borderId="1" xfId="0" applyFont="1" applyFill="1" applyBorder="1" applyAlignment="1" applyProtection="1">
      <alignment horizontal="left" vertical="top" wrapText="1"/>
      <protection locked="0"/>
    </xf>
    <xf numFmtId="0" fontId="16" fillId="2" borderId="14" xfId="0" applyFont="1" applyFill="1" applyBorder="1" applyAlignment="1" applyProtection="1">
      <alignment horizontal="left" vertical="top" wrapText="1"/>
      <protection locked="0"/>
    </xf>
    <xf numFmtId="0" fontId="16" fillId="2" borderId="15" xfId="0" applyFont="1" applyFill="1" applyBorder="1" applyAlignment="1" applyProtection="1">
      <alignment horizontal="left" vertical="top" wrapText="1"/>
      <protection locked="0"/>
    </xf>
    <xf numFmtId="0" fontId="16" fillId="2" borderId="16" xfId="0" applyFont="1" applyFill="1" applyBorder="1" applyAlignment="1" applyProtection="1">
      <alignment horizontal="left" vertical="top" wrapText="1"/>
      <protection locked="0"/>
    </xf>
    <xf numFmtId="0" fontId="13" fillId="5" borderId="0" xfId="1" applyFill="1" applyAlignment="1">
      <alignment horizontal="center"/>
    </xf>
    <xf numFmtId="0" fontId="23" fillId="2" borderId="0" xfId="0" applyFont="1" applyFill="1" applyAlignment="1">
      <alignment horizontal="center"/>
    </xf>
    <xf numFmtId="0" fontId="0" fillId="9" borderId="0" xfId="0" applyFill="1" applyAlignment="1">
      <alignment horizontal="center"/>
    </xf>
    <xf numFmtId="0" fontId="0" fillId="3" borderId="0" xfId="0" applyFill="1" applyAlignment="1">
      <alignment horizontal="center"/>
    </xf>
    <xf numFmtId="0" fontId="40" fillId="3" borderId="0" xfId="0" applyFont="1" applyFill="1" applyAlignment="1" applyProtection="1">
      <alignment horizontal="left"/>
      <protection locked="0"/>
    </xf>
    <xf numFmtId="0" fontId="64" fillId="3" borderId="0" xfId="0" applyFont="1" applyFill="1" applyAlignment="1" applyProtection="1">
      <alignment horizontal="right"/>
      <protection locked="0"/>
    </xf>
  </cellXfs>
  <cellStyles count="2">
    <cellStyle name="Hyperlink" xfId="1" builtinId="8"/>
    <cellStyle name="Normal" xfId="0" builtinId="0"/>
  </cellStyles>
  <dxfs count="99">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9" tint="0.39994506668294322"/>
        </patternFill>
      </fill>
    </dxf>
    <dxf>
      <fill>
        <patternFill>
          <bgColor theme="7" tint="0.39994506668294322"/>
        </patternFill>
      </fill>
    </dxf>
    <dxf>
      <fill>
        <patternFill>
          <bgColor theme="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0"/>
        </patternFill>
      </fill>
    </dxf>
    <dxf>
      <fill>
        <patternFill>
          <bgColor rgb="FFEA0000"/>
        </patternFill>
      </fill>
    </dxf>
    <dxf>
      <fill>
        <patternFill>
          <bgColor theme="7" tint="0.39994506668294322"/>
        </patternFill>
      </fill>
    </dxf>
    <dxf>
      <fill>
        <patternFill>
          <bgColor theme="9" tint="0.39994506668294322"/>
        </patternFill>
      </fill>
    </dxf>
    <dxf>
      <fill>
        <patternFill>
          <bgColor theme="9"/>
        </patternFill>
      </fill>
    </dxf>
    <dxf>
      <fill>
        <patternFill patternType="lightUp">
          <fgColor theme="0"/>
          <bgColor theme="0" tint="-0.14996795556505021"/>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39994506668294322"/>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2" tint="-0.24994659260841701"/>
          <bgColor theme="2"/>
        </patternFill>
      </fill>
    </dxf>
    <dxf>
      <fill>
        <patternFill patternType="lightDown">
          <fgColor theme="0" tint="-0.499984740745262"/>
          <bgColor theme="2"/>
        </patternFill>
      </fill>
    </dxf>
    <dxf>
      <fill>
        <patternFill patternType="lightDown">
          <fgColor theme="0" tint="-0.499984740745262"/>
          <bgColor theme="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theme="0"/>
        </patternFill>
      </fill>
    </dxf>
    <dxf>
      <font>
        <color rgb="FF006100"/>
      </font>
      <fill>
        <patternFill>
          <bgColor rgb="FFC6EFCE"/>
        </patternFill>
      </fill>
    </dxf>
    <dxf>
      <font>
        <color rgb="FF9C0006"/>
      </font>
      <fill>
        <patternFill>
          <bgColor rgb="FFFFC7CE"/>
        </patternFill>
      </fill>
    </dxf>
    <dxf>
      <font>
        <color theme="1"/>
      </font>
      <fill>
        <patternFill>
          <bgColor theme="0"/>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colors>
    <mruColors>
      <color rgb="FFE8E8E8"/>
      <color rgb="FFEA0000"/>
      <color rgb="FFE8F2F2"/>
      <color rgb="FFBEB3CD"/>
      <color rgb="FFE12809"/>
      <color rgb="FF439935"/>
      <color rgb="FFCDBEE4"/>
      <color rgb="FFDBCAF2"/>
      <color rgb="FFE1E1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16"/>
          <c:dPt>
            <c:idx val="0"/>
            <c:bubble3D val="0"/>
            <c:spPr>
              <a:solidFill>
                <a:schemeClr val="accent6"/>
              </a:solidFill>
              <a:ln w="19050">
                <a:solidFill>
                  <a:schemeClr val="lt1"/>
                </a:solidFill>
              </a:ln>
              <a:effectLst/>
            </c:spPr>
            <c:extLst>
              <c:ext xmlns:c16="http://schemas.microsoft.com/office/drawing/2014/chart" uri="{C3380CC4-5D6E-409C-BE32-E72D297353CC}">
                <c16:uniqueId val="{0000001D-C100-4940-87BF-E5765FC746B8}"/>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C100-4940-87BF-E5765FC746B8}"/>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A-C100-4940-87BF-E5765FC746B8}"/>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27-C100-4940-87BF-E5765FC746B8}"/>
              </c:ext>
            </c:extLst>
          </c:dPt>
          <c:dPt>
            <c:idx val="4"/>
            <c:bubble3D val="0"/>
            <c:spPr>
              <a:solidFill>
                <a:srgbClr val="E12809"/>
              </a:solidFill>
              <a:ln w="19050">
                <a:solidFill>
                  <a:schemeClr val="lt1"/>
                </a:solidFill>
              </a:ln>
              <a:effectLst/>
            </c:spPr>
            <c:extLst>
              <c:ext xmlns:c16="http://schemas.microsoft.com/office/drawing/2014/chart" uri="{C3380CC4-5D6E-409C-BE32-E72D297353CC}">
                <c16:uniqueId val="{00000031-C100-4940-87BF-E5765FC746B8}"/>
              </c:ext>
            </c:extLst>
          </c:dPt>
          <c:dPt>
            <c:idx val="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1E-C100-4940-87BF-E5765FC746B8}"/>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14-C100-4940-87BF-E5765FC746B8}"/>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C100-4940-87BF-E5765FC746B8}"/>
              </c:ext>
            </c:extLst>
          </c:dPt>
          <c:dPt>
            <c:idx val="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28-C100-4940-87BF-E5765FC746B8}"/>
              </c:ext>
            </c:extLst>
          </c:dPt>
          <c:dPt>
            <c:idx val="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2-C100-4940-87BF-E5765FC746B8}"/>
              </c:ext>
            </c:extLst>
          </c:dPt>
          <c:dPt>
            <c:idx val="10"/>
            <c:bubble3D val="0"/>
            <c:spPr>
              <a:solidFill>
                <a:srgbClr val="E12809"/>
              </a:solidFill>
              <a:ln w="19050">
                <a:solidFill>
                  <a:schemeClr val="lt1"/>
                </a:solidFill>
              </a:ln>
              <a:effectLst/>
            </c:spPr>
            <c:extLst>
              <c:ext xmlns:c16="http://schemas.microsoft.com/office/drawing/2014/chart" uri="{C3380CC4-5D6E-409C-BE32-E72D297353CC}">
                <c16:uniqueId val="{0000001F-C100-4940-87BF-E5765FC746B8}"/>
              </c:ext>
            </c:extLst>
          </c:dPt>
          <c:dPt>
            <c:idx val="1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15-C100-4940-87BF-E5765FC746B8}"/>
              </c:ext>
            </c:extLst>
          </c:dPt>
          <c:dPt>
            <c:idx val="12"/>
            <c:bubble3D val="0"/>
            <c:spPr>
              <a:solidFill>
                <a:schemeClr val="accent6"/>
              </a:solidFill>
              <a:ln w="19050">
                <a:solidFill>
                  <a:schemeClr val="lt1"/>
                </a:solidFill>
              </a:ln>
              <a:effectLst/>
            </c:spPr>
            <c:extLst>
              <c:ext xmlns:c16="http://schemas.microsoft.com/office/drawing/2014/chart" uri="{C3380CC4-5D6E-409C-BE32-E72D297353CC}">
                <c16:uniqueId val="{0000000B-C100-4940-87BF-E5765FC746B8}"/>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C100-4940-87BF-E5765FC746B8}"/>
              </c:ext>
            </c:extLst>
          </c:dPt>
          <c:dPt>
            <c:idx val="1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33-C100-4940-87BF-E5765FC746B8}"/>
              </c:ext>
            </c:extLst>
          </c:dPt>
          <c:dPt>
            <c:idx val="1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20-C100-4940-87BF-E5765FC746B8}"/>
              </c:ext>
            </c:extLst>
          </c:dPt>
          <c:dPt>
            <c:idx val="16"/>
            <c:bubble3D val="0"/>
            <c:spPr>
              <a:solidFill>
                <a:srgbClr val="E12809"/>
              </a:solidFill>
              <a:ln w="19050">
                <a:solidFill>
                  <a:schemeClr val="lt1"/>
                </a:solidFill>
              </a:ln>
              <a:effectLst/>
            </c:spPr>
            <c:extLst>
              <c:ext xmlns:c16="http://schemas.microsoft.com/office/drawing/2014/chart" uri="{C3380CC4-5D6E-409C-BE32-E72D297353CC}">
                <c16:uniqueId val="{00000016-C100-4940-87BF-E5765FC746B8}"/>
              </c:ext>
            </c:extLst>
          </c:dPt>
          <c:dPt>
            <c:idx val="1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0C-C100-4940-87BF-E5765FC746B8}"/>
              </c:ext>
            </c:extLst>
          </c:dPt>
          <c:dPt>
            <c:idx val="18"/>
            <c:bubble3D val="0"/>
            <c:spPr>
              <a:solidFill>
                <a:schemeClr val="accent6"/>
              </a:solidFill>
              <a:ln w="19050">
                <a:solidFill>
                  <a:schemeClr val="lt1"/>
                </a:solidFill>
              </a:ln>
              <a:effectLst/>
            </c:spPr>
            <c:extLst>
              <c:ext xmlns:c16="http://schemas.microsoft.com/office/drawing/2014/chart" uri="{C3380CC4-5D6E-409C-BE32-E72D297353CC}">
                <c16:uniqueId val="{0000002A-C100-4940-87BF-E5765FC746B8}"/>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4-C100-4940-87BF-E5765FC746B8}"/>
              </c:ext>
            </c:extLst>
          </c:dPt>
          <c:dPt>
            <c:idx val="2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21-C100-4940-87BF-E5765FC746B8}"/>
              </c:ext>
            </c:extLst>
          </c:dPt>
          <c:dPt>
            <c:idx val="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7-C100-4940-87BF-E5765FC746B8}"/>
              </c:ext>
            </c:extLst>
          </c:dPt>
          <c:dPt>
            <c:idx val="22"/>
            <c:bubble3D val="0"/>
            <c:spPr>
              <a:solidFill>
                <a:srgbClr val="E12809"/>
              </a:solidFill>
              <a:ln w="19050">
                <a:solidFill>
                  <a:schemeClr val="lt1"/>
                </a:solidFill>
              </a:ln>
              <a:effectLst/>
            </c:spPr>
            <c:extLst>
              <c:ext xmlns:c16="http://schemas.microsoft.com/office/drawing/2014/chart" uri="{C3380CC4-5D6E-409C-BE32-E72D297353CC}">
                <c16:uniqueId val="{0000000D-C100-4940-87BF-E5765FC746B8}"/>
              </c:ext>
            </c:extLst>
          </c:dPt>
          <c:dPt>
            <c:idx val="2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B-C100-4940-87BF-E5765FC746B8}"/>
              </c:ext>
            </c:extLst>
          </c:dPt>
          <c:dPt>
            <c:idx val="24"/>
            <c:bubble3D val="0"/>
            <c:spPr>
              <a:solidFill>
                <a:schemeClr val="accent6"/>
              </a:solidFill>
              <a:ln w="19050">
                <a:solidFill>
                  <a:schemeClr val="lt1"/>
                </a:solidFill>
              </a:ln>
              <a:effectLst/>
            </c:spPr>
            <c:extLst>
              <c:ext xmlns:c16="http://schemas.microsoft.com/office/drawing/2014/chart" uri="{C3380CC4-5D6E-409C-BE32-E72D297353CC}">
                <c16:uniqueId val="{00000035-C100-4940-87BF-E5765FC746B8}"/>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2-C100-4940-87BF-E5765FC746B8}"/>
              </c:ext>
            </c:extLst>
          </c:dPt>
          <c:dPt>
            <c:idx val="2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8-C100-4940-87BF-E5765FC746B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E-C100-4940-87BF-E5765FC746B8}"/>
              </c:ext>
            </c:extLst>
          </c:dPt>
          <c:dPt>
            <c:idx val="28"/>
            <c:bubble3D val="0"/>
            <c:spPr>
              <a:solidFill>
                <a:srgbClr val="E12809"/>
              </a:solidFill>
              <a:ln w="19050">
                <a:solidFill>
                  <a:schemeClr val="lt1"/>
                </a:solidFill>
              </a:ln>
              <a:effectLst/>
            </c:spPr>
            <c:extLst>
              <c:ext xmlns:c16="http://schemas.microsoft.com/office/drawing/2014/chart" uri="{C3380CC4-5D6E-409C-BE32-E72D297353CC}">
                <c16:uniqueId val="{0000002C-C100-4940-87BF-E5765FC746B8}"/>
              </c:ext>
            </c:extLst>
          </c:dPt>
          <c:dPt>
            <c:idx val="2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36-C100-4940-87BF-E5765FC746B8}"/>
              </c:ext>
            </c:extLst>
          </c:dPt>
          <c:dPt>
            <c:idx val="30"/>
            <c:bubble3D val="0"/>
            <c:spPr>
              <a:solidFill>
                <a:schemeClr val="accent6"/>
              </a:solidFill>
              <a:ln w="19050">
                <a:solidFill>
                  <a:schemeClr val="lt1"/>
                </a:solidFill>
              </a:ln>
              <a:effectLst/>
            </c:spPr>
            <c:extLst>
              <c:ext xmlns:c16="http://schemas.microsoft.com/office/drawing/2014/chart" uri="{C3380CC4-5D6E-409C-BE32-E72D297353CC}">
                <c16:uniqueId val="{00000023-C100-4940-87BF-E5765FC746B8}"/>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C100-4940-87BF-E5765FC746B8}"/>
              </c:ext>
            </c:extLst>
          </c:dPt>
          <c:dPt>
            <c:idx val="3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F-C100-4940-87BF-E5765FC746B8}"/>
              </c:ext>
            </c:extLst>
          </c:dPt>
          <c:dPt>
            <c:idx val="3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2D-C100-4940-87BF-E5765FC746B8}"/>
              </c:ext>
            </c:extLst>
          </c:dPt>
          <c:dPt>
            <c:idx val="34"/>
            <c:bubble3D val="0"/>
            <c:spPr>
              <a:solidFill>
                <a:srgbClr val="E12809"/>
              </a:solidFill>
              <a:ln w="19050">
                <a:solidFill>
                  <a:schemeClr val="lt1"/>
                </a:solidFill>
              </a:ln>
              <a:effectLst/>
            </c:spPr>
            <c:extLst>
              <c:ext xmlns:c16="http://schemas.microsoft.com/office/drawing/2014/chart" uri="{C3380CC4-5D6E-409C-BE32-E72D297353CC}">
                <c16:uniqueId val="{00000037-C100-4940-87BF-E5765FC746B8}"/>
              </c:ext>
            </c:extLst>
          </c:dPt>
          <c:dPt>
            <c:idx val="3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4-C100-4940-87BF-E5765FC746B8}"/>
              </c:ext>
            </c:extLst>
          </c:dPt>
          <c:dPt>
            <c:idx val="36"/>
            <c:bubble3D val="0"/>
            <c:spPr>
              <a:solidFill>
                <a:schemeClr val="accent6"/>
              </a:solidFill>
              <a:ln w="19050">
                <a:solidFill>
                  <a:schemeClr val="lt1"/>
                </a:solidFill>
              </a:ln>
              <a:effectLst/>
            </c:spPr>
            <c:extLst>
              <c:ext xmlns:c16="http://schemas.microsoft.com/office/drawing/2014/chart" uri="{C3380CC4-5D6E-409C-BE32-E72D297353CC}">
                <c16:uniqueId val="{0000001A-C100-4940-87BF-E5765FC746B8}"/>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0-C100-4940-87BF-E5765FC746B8}"/>
              </c:ext>
            </c:extLst>
          </c:dPt>
          <c:dPt>
            <c:idx val="3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2E-C100-4940-87BF-E5765FC746B8}"/>
              </c:ext>
            </c:extLst>
          </c:dPt>
          <c:dPt>
            <c:idx val="3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8-C100-4940-87BF-E5765FC746B8}"/>
              </c:ext>
            </c:extLst>
          </c:dPt>
          <c:dPt>
            <c:idx val="40"/>
            <c:bubble3D val="0"/>
            <c:spPr>
              <a:solidFill>
                <a:srgbClr val="E12809"/>
              </a:solidFill>
              <a:ln w="19050">
                <a:solidFill>
                  <a:schemeClr val="lt1"/>
                </a:solidFill>
              </a:ln>
              <a:effectLst/>
            </c:spPr>
            <c:extLst>
              <c:ext xmlns:c16="http://schemas.microsoft.com/office/drawing/2014/chart" uri="{C3380CC4-5D6E-409C-BE32-E72D297353CC}">
                <c16:uniqueId val="{00000025-C100-4940-87BF-E5765FC746B8}"/>
              </c:ext>
            </c:extLst>
          </c:dPt>
          <c:dPt>
            <c:idx val="4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1B-C100-4940-87BF-E5765FC746B8}"/>
              </c:ext>
            </c:extLst>
          </c:dPt>
          <c:dPt>
            <c:idx val="42"/>
            <c:bubble3D val="0"/>
            <c:spPr>
              <a:solidFill>
                <a:schemeClr val="accent6"/>
              </a:solidFill>
              <a:ln w="19050">
                <a:solidFill>
                  <a:schemeClr val="lt1"/>
                </a:solidFill>
              </a:ln>
              <a:effectLst/>
            </c:spPr>
            <c:extLst>
              <c:ext xmlns:c16="http://schemas.microsoft.com/office/drawing/2014/chart" uri="{C3380CC4-5D6E-409C-BE32-E72D297353CC}">
                <c16:uniqueId val="{00000011-C100-4940-87BF-E5765FC746B8}"/>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C100-4940-87BF-E5765FC746B8}"/>
              </c:ext>
            </c:extLst>
          </c:dPt>
          <c:dPt>
            <c:idx val="4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39-C100-4940-87BF-E5765FC746B8}"/>
              </c:ext>
            </c:extLst>
          </c:dPt>
          <c:dPt>
            <c:idx val="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26-C100-4940-87BF-E5765FC746B8}"/>
              </c:ext>
            </c:extLst>
          </c:dPt>
          <c:dPt>
            <c:idx val="46"/>
            <c:bubble3D val="0"/>
            <c:spPr>
              <a:solidFill>
                <a:srgbClr val="E12809"/>
              </a:solidFill>
              <a:ln w="19050">
                <a:solidFill>
                  <a:schemeClr val="lt1"/>
                </a:solidFill>
              </a:ln>
              <a:effectLst/>
            </c:spPr>
            <c:extLst>
              <c:ext xmlns:c16="http://schemas.microsoft.com/office/drawing/2014/chart" uri="{C3380CC4-5D6E-409C-BE32-E72D297353CC}">
                <c16:uniqueId val="{0000001C-C100-4940-87BF-E5765FC746B8}"/>
              </c:ext>
            </c:extLst>
          </c:dPt>
          <c:dPt>
            <c:idx val="4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12-C100-4940-87BF-E5765FC746B8}"/>
              </c:ext>
            </c:extLst>
          </c:dPt>
          <c:dPt>
            <c:idx val="48"/>
            <c:bubble3D val="0"/>
            <c:spPr>
              <a:solidFill>
                <a:schemeClr val="accent6"/>
              </a:solidFill>
              <a:ln w="19050">
                <a:solidFill>
                  <a:schemeClr val="lt1"/>
                </a:solidFill>
              </a:ln>
              <a:effectLst/>
            </c:spPr>
            <c:extLst>
              <c:ext xmlns:c16="http://schemas.microsoft.com/office/drawing/2014/chart" uri="{C3380CC4-5D6E-409C-BE32-E72D297353CC}">
                <c16:uniqueId val="{00000030-C100-4940-87BF-E5765FC746B8}"/>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A-C100-4940-87BF-E5765FC746B8}"/>
              </c:ext>
            </c:extLst>
          </c:dPt>
          <c:dPt>
            <c:idx val="5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68-3E0A-4B1A-A1F7-6AFCC28C9474}"/>
              </c:ext>
            </c:extLst>
          </c:dPt>
          <c:dPt>
            <c:idx val="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6A-3E0A-4B1A-A1F7-6AFCC28C9474}"/>
              </c:ext>
            </c:extLst>
          </c:dPt>
          <c:dPt>
            <c:idx val="52"/>
            <c:bubble3D val="0"/>
            <c:spPr>
              <a:solidFill>
                <a:srgbClr val="E12809"/>
              </a:solidFill>
              <a:ln w="19050">
                <a:solidFill>
                  <a:schemeClr val="lt1"/>
                </a:solidFill>
              </a:ln>
              <a:effectLst/>
            </c:spPr>
            <c:extLst>
              <c:ext xmlns:c16="http://schemas.microsoft.com/office/drawing/2014/chart" uri="{C3380CC4-5D6E-409C-BE32-E72D297353CC}">
                <c16:uniqueId val="{0000006B-3E0A-4B1A-A1F7-6AFCC28C9474}"/>
              </c:ext>
            </c:extLst>
          </c:dPt>
          <c:dPt>
            <c:idx val="5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65-3E0A-4B1A-A1F7-6AFCC28C9474}"/>
              </c:ext>
            </c:extLst>
          </c:dPt>
          <c:dPt>
            <c:idx val="54"/>
            <c:bubble3D val="0"/>
            <c:spPr>
              <a:solidFill>
                <a:schemeClr val="accent6"/>
              </a:solidFill>
              <a:ln w="19050">
                <a:solidFill>
                  <a:schemeClr val="lt1"/>
                </a:solidFill>
              </a:ln>
              <a:effectLst/>
            </c:spPr>
            <c:extLst>
              <c:ext xmlns:c16="http://schemas.microsoft.com/office/drawing/2014/chart" uri="{C3380CC4-5D6E-409C-BE32-E72D297353CC}">
                <c16:uniqueId val="{00000066-3E0A-4B1A-A1F7-6AFCC28C9474}"/>
              </c:ext>
            </c:extLst>
          </c:dPt>
          <c:dPt>
            <c:idx val="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7-3E0A-4B1A-A1F7-6AFCC28C9474}"/>
              </c:ext>
            </c:extLst>
          </c:dPt>
          <c:dPt>
            <c:idx val="5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69-3E0A-4B1A-A1F7-6AFCC28C9474}"/>
              </c:ext>
            </c:extLst>
          </c:dPt>
          <c:dPt>
            <c:idx val="5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6C-3E0A-4B1A-A1F7-6AFCC28C9474}"/>
              </c:ext>
            </c:extLst>
          </c:dPt>
          <c:dPt>
            <c:idx val="58"/>
            <c:bubble3D val="0"/>
            <c:spPr>
              <a:solidFill>
                <a:srgbClr val="E12809"/>
              </a:solidFill>
              <a:ln w="19050">
                <a:solidFill>
                  <a:schemeClr val="lt1"/>
                </a:solidFill>
              </a:ln>
              <a:effectLst/>
            </c:spPr>
            <c:extLst>
              <c:ext xmlns:c16="http://schemas.microsoft.com/office/drawing/2014/chart" uri="{C3380CC4-5D6E-409C-BE32-E72D297353CC}">
                <c16:uniqueId val="{0000006D-3E0A-4B1A-A1F7-6AFCC28C9474}"/>
              </c:ext>
            </c:extLst>
          </c:dPt>
          <c:dPt>
            <c:idx val="5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64-3E0A-4B1A-A1F7-6AFCC28C9474}"/>
              </c:ext>
            </c:extLst>
          </c:dPt>
          <c:val>
            <c:numRef>
              <c:f>'Env Wheel'!$B$2:$B$61</c:f>
              <c:numCache>
                <c:formatCode>General</c:formatCode>
                <c:ptCount val="6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0</c:v>
                </c:pt>
                <c:pt idx="16">
                  <c:v>0</c:v>
                </c:pt>
                <c:pt idx="17">
                  <c:v>1</c:v>
                </c:pt>
                <c:pt idx="18">
                  <c:v>0</c:v>
                </c:pt>
                <c:pt idx="19">
                  <c:v>0</c:v>
                </c:pt>
                <c:pt idx="20">
                  <c:v>0</c:v>
                </c:pt>
                <c:pt idx="21">
                  <c:v>0</c:v>
                </c:pt>
                <c:pt idx="22">
                  <c:v>0</c:v>
                </c:pt>
                <c:pt idx="23">
                  <c:v>1</c:v>
                </c:pt>
                <c:pt idx="24">
                  <c:v>0</c:v>
                </c:pt>
                <c:pt idx="25">
                  <c:v>0</c:v>
                </c:pt>
                <c:pt idx="26">
                  <c:v>0</c:v>
                </c:pt>
                <c:pt idx="27">
                  <c:v>0</c:v>
                </c:pt>
                <c:pt idx="28">
                  <c:v>0</c:v>
                </c:pt>
                <c:pt idx="29">
                  <c:v>1</c:v>
                </c:pt>
                <c:pt idx="30">
                  <c:v>0</c:v>
                </c:pt>
                <c:pt idx="31">
                  <c:v>0</c:v>
                </c:pt>
                <c:pt idx="32">
                  <c:v>0</c:v>
                </c:pt>
                <c:pt idx="33">
                  <c:v>0</c:v>
                </c:pt>
                <c:pt idx="34">
                  <c:v>0</c:v>
                </c:pt>
                <c:pt idx="35">
                  <c:v>1</c:v>
                </c:pt>
                <c:pt idx="36">
                  <c:v>0</c:v>
                </c:pt>
                <c:pt idx="37">
                  <c:v>0</c:v>
                </c:pt>
                <c:pt idx="38">
                  <c:v>0</c:v>
                </c:pt>
                <c:pt idx="39">
                  <c:v>0</c:v>
                </c:pt>
                <c:pt idx="40">
                  <c:v>0</c:v>
                </c:pt>
                <c:pt idx="41">
                  <c:v>1</c:v>
                </c:pt>
                <c:pt idx="42">
                  <c:v>0</c:v>
                </c:pt>
                <c:pt idx="43">
                  <c:v>0</c:v>
                </c:pt>
                <c:pt idx="44">
                  <c:v>0</c:v>
                </c:pt>
                <c:pt idx="45">
                  <c:v>0</c:v>
                </c:pt>
                <c:pt idx="46">
                  <c:v>0</c:v>
                </c:pt>
                <c:pt idx="47">
                  <c:v>1</c:v>
                </c:pt>
                <c:pt idx="48">
                  <c:v>0</c:v>
                </c:pt>
                <c:pt idx="49">
                  <c:v>0</c:v>
                </c:pt>
                <c:pt idx="50">
                  <c:v>0</c:v>
                </c:pt>
                <c:pt idx="51">
                  <c:v>0</c:v>
                </c:pt>
                <c:pt idx="52">
                  <c:v>0</c:v>
                </c:pt>
                <c:pt idx="53">
                  <c:v>1</c:v>
                </c:pt>
                <c:pt idx="54">
                  <c:v>0</c:v>
                </c:pt>
                <c:pt idx="55">
                  <c:v>0</c:v>
                </c:pt>
                <c:pt idx="56">
                  <c:v>0</c:v>
                </c:pt>
                <c:pt idx="57">
                  <c:v>0</c:v>
                </c:pt>
                <c:pt idx="58">
                  <c:v>0</c:v>
                </c:pt>
                <c:pt idx="59">
                  <c:v>1</c:v>
                </c:pt>
              </c:numCache>
            </c:numRef>
          </c:val>
          <c:extLst>
            <c:ext xmlns:c16="http://schemas.microsoft.com/office/drawing/2014/chart" uri="{C3380CC4-5D6E-409C-BE32-E72D297353CC}">
              <c16:uniqueId val="{00000000-C100-4940-87BF-E5765FC746B8}"/>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16"/>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7BA-4694-975B-B65F66EE968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D7BA-4694-975B-B65F66EE9689}"/>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D7BA-4694-975B-B65F66EE9689}"/>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D7BA-4694-975B-B65F66EE9689}"/>
              </c:ext>
            </c:extLst>
          </c:dPt>
          <c:dPt>
            <c:idx val="4"/>
            <c:bubble3D val="0"/>
            <c:spPr>
              <a:solidFill>
                <a:srgbClr val="E12809"/>
              </a:solidFill>
              <a:ln w="19050">
                <a:solidFill>
                  <a:schemeClr val="lt1"/>
                </a:solidFill>
              </a:ln>
              <a:effectLst/>
            </c:spPr>
            <c:extLst>
              <c:ext xmlns:c16="http://schemas.microsoft.com/office/drawing/2014/chart" uri="{C3380CC4-5D6E-409C-BE32-E72D297353CC}">
                <c16:uniqueId val="{00000009-D7BA-4694-975B-B65F66EE9689}"/>
              </c:ext>
            </c:extLst>
          </c:dPt>
          <c:dPt>
            <c:idx val="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0B-D7BA-4694-975B-B65F66EE9689}"/>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0D-D7BA-4694-975B-B65F66EE968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D7BA-4694-975B-B65F66EE9689}"/>
              </c:ext>
            </c:extLst>
          </c:dPt>
          <c:dPt>
            <c:idx val="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1-D7BA-4694-975B-B65F66EE9689}"/>
              </c:ext>
            </c:extLst>
          </c:dPt>
          <c:dPt>
            <c:idx val="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3-D7BA-4694-975B-B65F66EE9689}"/>
              </c:ext>
            </c:extLst>
          </c:dPt>
          <c:dPt>
            <c:idx val="10"/>
            <c:bubble3D val="0"/>
            <c:spPr>
              <a:solidFill>
                <a:srgbClr val="E12809"/>
              </a:solidFill>
              <a:ln w="19050">
                <a:solidFill>
                  <a:schemeClr val="lt1"/>
                </a:solidFill>
              </a:ln>
              <a:effectLst/>
            </c:spPr>
            <c:extLst>
              <c:ext xmlns:c16="http://schemas.microsoft.com/office/drawing/2014/chart" uri="{C3380CC4-5D6E-409C-BE32-E72D297353CC}">
                <c16:uniqueId val="{00000015-D7BA-4694-975B-B65F66EE9689}"/>
              </c:ext>
            </c:extLst>
          </c:dPt>
          <c:dPt>
            <c:idx val="1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17-D7BA-4694-975B-B65F66EE9689}"/>
              </c:ext>
            </c:extLst>
          </c:dPt>
          <c:dPt>
            <c:idx val="12"/>
            <c:bubble3D val="0"/>
            <c:spPr>
              <a:solidFill>
                <a:schemeClr val="accent6"/>
              </a:solidFill>
              <a:ln w="19050">
                <a:solidFill>
                  <a:schemeClr val="lt1"/>
                </a:solidFill>
              </a:ln>
              <a:effectLst/>
            </c:spPr>
            <c:extLst>
              <c:ext xmlns:c16="http://schemas.microsoft.com/office/drawing/2014/chart" uri="{C3380CC4-5D6E-409C-BE32-E72D297353CC}">
                <c16:uniqueId val="{00000019-D7BA-4694-975B-B65F66EE968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D7BA-4694-975B-B65F66EE9689}"/>
              </c:ext>
            </c:extLst>
          </c:dPt>
          <c:dPt>
            <c:idx val="1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D-D7BA-4694-975B-B65F66EE9689}"/>
              </c:ext>
            </c:extLst>
          </c:dPt>
          <c:dPt>
            <c:idx val="1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F-D7BA-4694-975B-B65F66EE9689}"/>
              </c:ext>
            </c:extLst>
          </c:dPt>
          <c:dPt>
            <c:idx val="16"/>
            <c:bubble3D val="0"/>
            <c:spPr>
              <a:solidFill>
                <a:srgbClr val="E12809"/>
              </a:solidFill>
              <a:ln w="19050">
                <a:solidFill>
                  <a:schemeClr val="lt1"/>
                </a:solidFill>
              </a:ln>
              <a:effectLst/>
            </c:spPr>
            <c:extLst>
              <c:ext xmlns:c16="http://schemas.microsoft.com/office/drawing/2014/chart" uri="{C3380CC4-5D6E-409C-BE32-E72D297353CC}">
                <c16:uniqueId val="{00000021-D7BA-4694-975B-B65F66EE9689}"/>
              </c:ext>
            </c:extLst>
          </c:dPt>
          <c:dPt>
            <c:idx val="1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3-D7BA-4694-975B-B65F66EE9689}"/>
              </c:ext>
            </c:extLst>
          </c:dPt>
          <c:dPt>
            <c:idx val="18"/>
            <c:bubble3D val="0"/>
            <c:spPr>
              <a:solidFill>
                <a:schemeClr val="accent6"/>
              </a:solidFill>
              <a:ln w="19050">
                <a:solidFill>
                  <a:schemeClr val="lt1"/>
                </a:solidFill>
              </a:ln>
              <a:effectLst/>
            </c:spPr>
            <c:extLst>
              <c:ext xmlns:c16="http://schemas.microsoft.com/office/drawing/2014/chart" uri="{C3380CC4-5D6E-409C-BE32-E72D297353CC}">
                <c16:uniqueId val="{00000025-D7BA-4694-975B-B65F66EE968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D7BA-4694-975B-B65F66EE9689}"/>
              </c:ext>
            </c:extLst>
          </c:dPt>
          <c:dPt>
            <c:idx val="2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29-D7BA-4694-975B-B65F66EE9689}"/>
              </c:ext>
            </c:extLst>
          </c:dPt>
          <c:dPt>
            <c:idx val="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2B-D7BA-4694-975B-B65F66EE9689}"/>
              </c:ext>
            </c:extLst>
          </c:dPt>
          <c:dPt>
            <c:idx val="22"/>
            <c:bubble3D val="0"/>
            <c:spPr>
              <a:solidFill>
                <a:srgbClr val="E12809"/>
              </a:solidFill>
              <a:ln w="19050">
                <a:solidFill>
                  <a:schemeClr val="lt1"/>
                </a:solidFill>
              </a:ln>
              <a:effectLst/>
            </c:spPr>
            <c:extLst>
              <c:ext xmlns:c16="http://schemas.microsoft.com/office/drawing/2014/chart" uri="{C3380CC4-5D6E-409C-BE32-E72D297353CC}">
                <c16:uniqueId val="{0000002D-D7BA-4694-975B-B65F66EE9689}"/>
              </c:ext>
            </c:extLst>
          </c:dPt>
          <c:dPt>
            <c:idx val="2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F-D7BA-4694-975B-B65F66EE9689}"/>
              </c:ext>
            </c:extLst>
          </c:dPt>
          <c:dPt>
            <c:idx val="24"/>
            <c:bubble3D val="0"/>
            <c:spPr>
              <a:solidFill>
                <a:schemeClr val="accent6"/>
              </a:solidFill>
              <a:ln w="19050">
                <a:solidFill>
                  <a:schemeClr val="lt1"/>
                </a:solidFill>
              </a:ln>
              <a:effectLst/>
            </c:spPr>
            <c:extLst>
              <c:ext xmlns:c16="http://schemas.microsoft.com/office/drawing/2014/chart" uri="{C3380CC4-5D6E-409C-BE32-E72D297353CC}">
                <c16:uniqueId val="{00000031-D7BA-4694-975B-B65F66EE968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D7BA-4694-975B-B65F66EE9689}"/>
              </c:ext>
            </c:extLst>
          </c:dPt>
          <c:dPt>
            <c:idx val="2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35-D7BA-4694-975B-B65F66EE9689}"/>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D7BA-4694-975B-B65F66EE9689}"/>
              </c:ext>
            </c:extLst>
          </c:dPt>
          <c:dPt>
            <c:idx val="28"/>
            <c:bubble3D val="0"/>
            <c:spPr>
              <a:solidFill>
                <a:srgbClr val="E12809"/>
              </a:solidFill>
              <a:ln w="19050">
                <a:solidFill>
                  <a:schemeClr val="lt1"/>
                </a:solidFill>
              </a:ln>
              <a:effectLst/>
            </c:spPr>
            <c:extLst>
              <c:ext xmlns:c16="http://schemas.microsoft.com/office/drawing/2014/chart" uri="{C3380CC4-5D6E-409C-BE32-E72D297353CC}">
                <c16:uniqueId val="{00000039-D7BA-4694-975B-B65F66EE9689}"/>
              </c:ext>
            </c:extLst>
          </c:dPt>
          <c:dPt>
            <c:idx val="2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3B-D7BA-4694-975B-B65F66EE9689}"/>
              </c:ext>
            </c:extLst>
          </c:dPt>
          <c:dPt>
            <c:idx val="30"/>
            <c:bubble3D val="0"/>
            <c:spPr>
              <a:solidFill>
                <a:schemeClr val="accent6"/>
              </a:solidFill>
              <a:ln w="19050">
                <a:solidFill>
                  <a:schemeClr val="lt1"/>
                </a:solidFill>
              </a:ln>
              <a:effectLst/>
            </c:spPr>
            <c:extLst>
              <c:ext xmlns:c16="http://schemas.microsoft.com/office/drawing/2014/chart" uri="{C3380CC4-5D6E-409C-BE32-E72D297353CC}">
                <c16:uniqueId val="{0000003D-D7BA-4694-975B-B65F66EE968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D7BA-4694-975B-B65F66EE9689}"/>
              </c:ext>
            </c:extLst>
          </c:dPt>
          <c:dPt>
            <c:idx val="3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1-D7BA-4694-975B-B65F66EE9689}"/>
              </c:ext>
            </c:extLst>
          </c:dPt>
          <c:dPt>
            <c:idx val="3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3-D7BA-4694-975B-B65F66EE9689}"/>
              </c:ext>
            </c:extLst>
          </c:dPt>
          <c:dPt>
            <c:idx val="34"/>
            <c:bubble3D val="0"/>
            <c:spPr>
              <a:solidFill>
                <a:srgbClr val="E12809"/>
              </a:solidFill>
              <a:ln w="19050">
                <a:solidFill>
                  <a:schemeClr val="lt1"/>
                </a:solidFill>
              </a:ln>
              <a:effectLst/>
            </c:spPr>
            <c:extLst>
              <c:ext xmlns:c16="http://schemas.microsoft.com/office/drawing/2014/chart" uri="{C3380CC4-5D6E-409C-BE32-E72D297353CC}">
                <c16:uniqueId val="{00000045-D7BA-4694-975B-B65F66EE9689}"/>
              </c:ext>
            </c:extLst>
          </c:dPt>
          <c:dPt>
            <c:idx val="3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47-D7BA-4694-975B-B65F66EE9689}"/>
              </c:ext>
            </c:extLst>
          </c:dPt>
          <c:dPt>
            <c:idx val="36"/>
            <c:bubble3D val="0"/>
            <c:spPr>
              <a:solidFill>
                <a:schemeClr val="accent6"/>
              </a:solidFill>
              <a:ln w="19050">
                <a:solidFill>
                  <a:schemeClr val="lt1"/>
                </a:solidFill>
              </a:ln>
              <a:effectLst/>
            </c:spPr>
            <c:extLst>
              <c:ext xmlns:c16="http://schemas.microsoft.com/office/drawing/2014/chart" uri="{C3380CC4-5D6E-409C-BE32-E72D297353CC}">
                <c16:uniqueId val="{00000049-D7BA-4694-975B-B65F66EE968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D7BA-4694-975B-B65F66EE9689}"/>
              </c:ext>
            </c:extLst>
          </c:dPt>
          <c:dPt>
            <c:idx val="3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D-D7BA-4694-975B-B65F66EE9689}"/>
              </c:ext>
            </c:extLst>
          </c:dPt>
          <c:dPt>
            <c:idx val="3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F-D7BA-4694-975B-B65F66EE9689}"/>
              </c:ext>
            </c:extLst>
          </c:dPt>
          <c:dPt>
            <c:idx val="40"/>
            <c:bubble3D val="0"/>
            <c:spPr>
              <a:solidFill>
                <a:srgbClr val="E12809"/>
              </a:solidFill>
              <a:ln w="19050">
                <a:solidFill>
                  <a:schemeClr val="lt1"/>
                </a:solidFill>
              </a:ln>
              <a:effectLst/>
            </c:spPr>
            <c:extLst>
              <c:ext xmlns:c16="http://schemas.microsoft.com/office/drawing/2014/chart" uri="{C3380CC4-5D6E-409C-BE32-E72D297353CC}">
                <c16:uniqueId val="{00000051-D7BA-4694-975B-B65F66EE9689}"/>
              </c:ext>
            </c:extLst>
          </c:dPt>
          <c:dPt>
            <c:idx val="4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3-D7BA-4694-975B-B65F66EE9689}"/>
              </c:ext>
            </c:extLst>
          </c:dPt>
          <c:dPt>
            <c:idx val="42"/>
            <c:bubble3D val="0"/>
            <c:spPr>
              <a:solidFill>
                <a:schemeClr val="accent6"/>
              </a:solidFill>
              <a:ln w="19050">
                <a:solidFill>
                  <a:schemeClr val="lt1"/>
                </a:solidFill>
              </a:ln>
              <a:effectLst/>
            </c:spPr>
            <c:extLst>
              <c:ext xmlns:c16="http://schemas.microsoft.com/office/drawing/2014/chart" uri="{C3380CC4-5D6E-409C-BE32-E72D297353CC}">
                <c16:uniqueId val="{00000055-D7BA-4694-975B-B65F66EE968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D7BA-4694-975B-B65F66EE9689}"/>
              </c:ext>
            </c:extLst>
          </c:dPt>
          <c:dPt>
            <c:idx val="4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59-D7BA-4694-975B-B65F66EE9689}"/>
              </c:ext>
            </c:extLst>
          </c:dPt>
          <c:dPt>
            <c:idx val="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5B-D7BA-4694-975B-B65F66EE9689}"/>
              </c:ext>
            </c:extLst>
          </c:dPt>
          <c:dPt>
            <c:idx val="46"/>
            <c:bubble3D val="0"/>
            <c:spPr>
              <a:solidFill>
                <a:srgbClr val="E12809"/>
              </a:solidFill>
              <a:ln w="19050">
                <a:solidFill>
                  <a:schemeClr val="lt1"/>
                </a:solidFill>
              </a:ln>
              <a:effectLst/>
            </c:spPr>
            <c:extLst>
              <c:ext xmlns:c16="http://schemas.microsoft.com/office/drawing/2014/chart" uri="{C3380CC4-5D6E-409C-BE32-E72D297353CC}">
                <c16:uniqueId val="{0000005D-D7BA-4694-975B-B65F66EE9689}"/>
              </c:ext>
            </c:extLst>
          </c:dPt>
          <c:dPt>
            <c:idx val="4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F-D7BA-4694-975B-B65F66EE9689}"/>
              </c:ext>
            </c:extLst>
          </c:dPt>
          <c:dPt>
            <c:idx val="48"/>
            <c:bubble3D val="0"/>
            <c:spPr>
              <a:solidFill>
                <a:schemeClr val="accent6"/>
              </a:solidFill>
              <a:ln w="19050">
                <a:solidFill>
                  <a:schemeClr val="lt1"/>
                </a:solidFill>
              </a:ln>
              <a:effectLst/>
            </c:spPr>
            <c:extLst>
              <c:ext xmlns:c16="http://schemas.microsoft.com/office/drawing/2014/chart" uri="{C3380CC4-5D6E-409C-BE32-E72D297353CC}">
                <c16:uniqueId val="{00000061-D7BA-4694-975B-B65F66EE968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D7BA-4694-975B-B65F66EE9689}"/>
              </c:ext>
            </c:extLst>
          </c:dPt>
          <c:dPt>
            <c:idx val="5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65-D7BA-4694-975B-B65F66EE9689}"/>
              </c:ext>
            </c:extLst>
          </c:dPt>
          <c:dPt>
            <c:idx val="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66-D7BA-4694-975B-B65F66EE9689}"/>
              </c:ext>
            </c:extLst>
          </c:dPt>
          <c:dPt>
            <c:idx val="52"/>
            <c:bubble3D val="0"/>
            <c:spPr>
              <a:solidFill>
                <a:srgbClr val="E12809"/>
              </a:solidFill>
              <a:ln w="19050">
                <a:solidFill>
                  <a:schemeClr val="lt1"/>
                </a:solidFill>
              </a:ln>
              <a:effectLst/>
            </c:spPr>
            <c:extLst>
              <c:ext xmlns:c16="http://schemas.microsoft.com/office/drawing/2014/chart" uri="{C3380CC4-5D6E-409C-BE32-E72D297353CC}">
                <c16:uniqueId val="{00000067-D7BA-4694-975B-B65F66EE9689}"/>
              </c:ext>
            </c:extLst>
          </c:dPt>
          <c:dPt>
            <c:idx val="5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68-D7BA-4694-975B-B65F66EE9689}"/>
              </c:ext>
            </c:extLst>
          </c:dPt>
          <c:dPt>
            <c:idx val="54"/>
            <c:bubble3D val="0"/>
            <c:spPr>
              <a:solidFill>
                <a:schemeClr val="accent6"/>
              </a:solidFill>
              <a:ln w="19050">
                <a:solidFill>
                  <a:schemeClr val="lt1"/>
                </a:solidFill>
              </a:ln>
              <a:effectLst/>
            </c:spPr>
            <c:extLst>
              <c:ext xmlns:c16="http://schemas.microsoft.com/office/drawing/2014/chart" uri="{C3380CC4-5D6E-409C-BE32-E72D297353CC}">
                <c16:uniqueId val="{00000069-D7BA-4694-975B-B65F66EE9689}"/>
              </c:ext>
            </c:extLst>
          </c:dPt>
          <c:dPt>
            <c:idx val="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E-502D-43D7-8B85-6020506DE9B0}"/>
              </c:ext>
            </c:extLst>
          </c:dPt>
          <c:dPt>
            <c:idx val="5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6F-502D-43D7-8B85-6020506DE9B0}"/>
              </c:ext>
            </c:extLst>
          </c:dPt>
          <c:dPt>
            <c:idx val="5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0-502D-43D7-8B85-6020506DE9B0}"/>
              </c:ext>
            </c:extLst>
          </c:dPt>
          <c:dPt>
            <c:idx val="58"/>
            <c:bubble3D val="0"/>
            <c:spPr>
              <a:solidFill>
                <a:srgbClr val="E12809"/>
              </a:solidFill>
              <a:ln w="19050">
                <a:solidFill>
                  <a:schemeClr val="lt1"/>
                </a:solidFill>
              </a:ln>
              <a:effectLst/>
            </c:spPr>
            <c:extLst>
              <c:ext xmlns:c16="http://schemas.microsoft.com/office/drawing/2014/chart" uri="{C3380CC4-5D6E-409C-BE32-E72D297353CC}">
                <c16:uniqueId val="{00000071-502D-43D7-8B85-6020506DE9B0}"/>
              </c:ext>
            </c:extLst>
          </c:dPt>
          <c:dPt>
            <c:idx val="5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72-502D-43D7-8B85-6020506DE9B0}"/>
              </c:ext>
            </c:extLst>
          </c:dPt>
          <c:dPt>
            <c:idx val="60"/>
            <c:bubble3D val="0"/>
            <c:spPr>
              <a:solidFill>
                <a:schemeClr val="accent6"/>
              </a:solidFill>
              <a:ln w="19050">
                <a:solidFill>
                  <a:schemeClr val="lt1"/>
                </a:solidFill>
              </a:ln>
              <a:effectLst/>
            </c:spPr>
            <c:extLst>
              <c:ext xmlns:c16="http://schemas.microsoft.com/office/drawing/2014/chart" uri="{C3380CC4-5D6E-409C-BE32-E72D297353CC}">
                <c16:uniqueId val="{00000073-502D-43D7-8B85-6020506DE9B0}"/>
              </c:ext>
            </c:extLst>
          </c:dPt>
          <c:dPt>
            <c:idx val="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74-502D-43D7-8B85-6020506DE9B0}"/>
              </c:ext>
            </c:extLst>
          </c:dPt>
          <c:dPt>
            <c:idx val="6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75-502D-43D7-8B85-6020506DE9B0}"/>
              </c:ext>
            </c:extLst>
          </c:dPt>
          <c:dPt>
            <c:idx val="6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6-502D-43D7-8B85-6020506DE9B0}"/>
              </c:ext>
            </c:extLst>
          </c:dPt>
          <c:dPt>
            <c:idx val="64"/>
            <c:bubble3D val="0"/>
            <c:spPr>
              <a:solidFill>
                <a:srgbClr val="E12809"/>
              </a:solidFill>
              <a:ln w="19050">
                <a:solidFill>
                  <a:schemeClr val="lt1"/>
                </a:solidFill>
              </a:ln>
              <a:effectLst/>
            </c:spPr>
            <c:extLst>
              <c:ext xmlns:c16="http://schemas.microsoft.com/office/drawing/2014/chart" uri="{C3380CC4-5D6E-409C-BE32-E72D297353CC}">
                <c16:uniqueId val="{00000077-502D-43D7-8B85-6020506DE9B0}"/>
              </c:ext>
            </c:extLst>
          </c:dPt>
          <c:dPt>
            <c:idx val="6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78-502D-43D7-8B85-6020506DE9B0}"/>
              </c:ext>
            </c:extLst>
          </c:dPt>
          <c:val>
            <c:numRef>
              <c:f>'Social Wheel'!$B$2:$B$67</c:f>
              <c:numCache>
                <c:formatCode>General</c:formatCode>
                <c:ptCount val="66"/>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0</c:v>
                </c:pt>
                <c:pt idx="16">
                  <c:v>0</c:v>
                </c:pt>
                <c:pt idx="17">
                  <c:v>1</c:v>
                </c:pt>
                <c:pt idx="18">
                  <c:v>0</c:v>
                </c:pt>
                <c:pt idx="19">
                  <c:v>0</c:v>
                </c:pt>
                <c:pt idx="20">
                  <c:v>0</c:v>
                </c:pt>
                <c:pt idx="21">
                  <c:v>0</c:v>
                </c:pt>
                <c:pt idx="22">
                  <c:v>0</c:v>
                </c:pt>
                <c:pt idx="23">
                  <c:v>1</c:v>
                </c:pt>
                <c:pt idx="24">
                  <c:v>0</c:v>
                </c:pt>
                <c:pt idx="25">
                  <c:v>0</c:v>
                </c:pt>
                <c:pt idx="26">
                  <c:v>0</c:v>
                </c:pt>
                <c:pt idx="27">
                  <c:v>0</c:v>
                </c:pt>
                <c:pt idx="28">
                  <c:v>0</c:v>
                </c:pt>
                <c:pt idx="29">
                  <c:v>1</c:v>
                </c:pt>
                <c:pt idx="30">
                  <c:v>0</c:v>
                </c:pt>
                <c:pt idx="31">
                  <c:v>0</c:v>
                </c:pt>
                <c:pt idx="32">
                  <c:v>0</c:v>
                </c:pt>
                <c:pt idx="33">
                  <c:v>0</c:v>
                </c:pt>
                <c:pt idx="34">
                  <c:v>0</c:v>
                </c:pt>
                <c:pt idx="35">
                  <c:v>1</c:v>
                </c:pt>
                <c:pt idx="36">
                  <c:v>0</c:v>
                </c:pt>
                <c:pt idx="37">
                  <c:v>0</c:v>
                </c:pt>
                <c:pt idx="38">
                  <c:v>0</c:v>
                </c:pt>
                <c:pt idx="39">
                  <c:v>0</c:v>
                </c:pt>
                <c:pt idx="40">
                  <c:v>0</c:v>
                </c:pt>
                <c:pt idx="41">
                  <c:v>1</c:v>
                </c:pt>
                <c:pt idx="42">
                  <c:v>0</c:v>
                </c:pt>
                <c:pt idx="43">
                  <c:v>0</c:v>
                </c:pt>
                <c:pt idx="44">
                  <c:v>0</c:v>
                </c:pt>
                <c:pt idx="45">
                  <c:v>0</c:v>
                </c:pt>
                <c:pt idx="46">
                  <c:v>0</c:v>
                </c:pt>
                <c:pt idx="47">
                  <c:v>1</c:v>
                </c:pt>
                <c:pt idx="48">
                  <c:v>0</c:v>
                </c:pt>
                <c:pt idx="49">
                  <c:v>0</c:v>
                </c:pt>
                <c:pt idx="50">
                  <c:v>0</c:v>
                </c:pt>
                <c:pt idx="51">
                  <c:v>0</c:v>
                </c:pt>
                <c:pt idx="52">
                  <c:v>0</c:v>
                </c:pt>
                <c:pt idx="53">
                  <c:v>1</c:v>
                </c:pt>
                <c:pt idx="54">
                  <c:v>0</c:v>
                </c:pt>
                <c:pt idx="55">
                  <c:v>0</c:v>
                </c:pt>
                <c:pt idx="56">
                  <c:v>0</c:v>
                </c:pt>
                <c:pt idx="57">
                  <c:v>0</c:v>
                </c:pt>
                <c:pt idx="58">
                  <c:v>0</c:v>
                </c:pt>
                <c:pt idx="59">
                  <c:v>1</c:v>
                </c:pt>
                <c:pt idx="60">
                  <c:v>0</c:v>
                </c:pt>
                <c:pt idx="61">
                  <c:v>0</c:v>
                </c:pt>
                <c:pt idx="62">
                  <c:v>0</c:v>
                </c:pt>
                <c:pt idx="63">
                  <c:v>0</c:v>
                </c:pt>
                <c:pt idx="64">
                  <c:v>0</c:v>
                </c:pt>
                <c:pt idx="65">
                  <c:v>1</c:v>
                </c:pt>
              </c:numCache>
            </c:numRef>
          </c:val>
          <c:extLst>
            <c:ext xmlns:c16="http://schemas.microsoft.com/office/drawing/2014/chart" uri="{C3380CC4-5D6E-409C-BE32-E72D297353CC}">
              <c16:uniqueId val="{00000064-D7BA-4694-975B-B65F66EE9689}"/>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25298397570145"/>
          <c:y val="2.2743420637326161E-2"/>
          <c:w val="0.68949299414400533"/>
          <c:h val="0.93745559324735306"/>
        </c:manualLayout>
      </c:layout>
      <c:doughnutChart>
        <c:varyColors val="1"/>
        <c:dLbls>
          <c:showLegendKey val="0"/>
          <c:showVal val="0"/>
          <c:showCatName val="0"/>
          <c:showSerName val="0"/>
          <c:showPercent val="0"/>
          <c:showBubbleSize val="0"/>
          <c:showLeaderLines val="0"/>
        </c:dLbls>
        <c:firstSliceAng val="0"/>
        <c:holeSize val="67"/>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47"/>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18"/>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89D-4D4A-9C00-E7D60D775987}"/>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889D-4D4A-9C00-E7D60D775987}"/>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889D-4D4A-9C00-E7D60D775987}"/>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889D-4D4A-9C00-E7D60D775987}"/>
              </c:ext>
            </c:extLst>
          </c:dPt>
          <c:dPt>
            <c:idx val="4"/>
            <c:bubble3D val="0"/>
            <c:spPr>
              <a:solidFill>
                <a:srgbClr val="E12809"/>
              </a:solidFill>
              <a:ln w="19050">
                <a:solidFill>
                  <a:schemeClr val="lt1"/>
                </a:solidFill>
              </a:ln>
              <a:effectLst/>
            </c:spPr>
            <c:extLst>
              <c:ext xmlns:c16="http://schemas.microsoft.com/office/drawing/2014/chart" uri="{C3380CC4-5D6E-409C-BE32-E72D297353CC}">
                <c16:uniqueId val="{00000009-889D-4D4A-9C00-E7D60D775987}"/>
              </c:ext>
            </c:extLst>
          </c:dPt>
          <c:dPt>
            <c:idx val="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0B-889D-4D4A-9C00-E7D60D775987}"/>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0D-889D-4D4A-9C00-E7D60D775987}"/>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889D-4D4A-9C00-E7D60D775987}"/>
              </c:ext>
            </c:extLst>
          </c:dPt>
          <c:dPt>
            <c:idx val="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1-889D-4D4A-9C00-E7D60D775987}"/>
              </c:ext>
            </c:extLst>
          </c:dPt>
          <c:dPt>
            <c:idx val="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3-889D-4D4A-9C00-E7D60D775987}"/>
              </c:ext>
            </c:extLst>
          </c:dPt>
          <c:dPt>
            <c:idx val="10"/>
            <c:bubble3D val="0"/>
            <c:spPr>
              <a:solidFill>
                <a:srgbClr val="E12809"/>
              </a:solidFill>
              <a:ln w="19050">
                <a:solidFill>
                  <a:schemeClr val="lt1"/>
                </a:solidFill>
              </a:ln>
              <a:effectLst/>
            </c:spPr>
            <c:extLst>
              <c:ext xmlns:c16="http://schemas.microsoft.com/office/drawing/2014/chart" uri="{C3380CC4-5D6E-409C-BE32-E72D297353CC}">
                <c16:uniqueId val="{00000015-889D-4D4A-9C00-E7D60D775987}"/>
              </c:ext>
            </c:extLst>
          </c:dPt>
          <c:dPt>
            <c:idx val="1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17-889D-4D4A-9C00-E7D60D775987}"/>
              </c:ext>
            </c:extLst>
          </c:dPt>
          <c:dPt>
            <c:idx val="12"/>
            <c:bubble3D val="0"/>
            <c:spPr>
              <a:solidFill>
                <a:schemeClr val="accent6"/>
              </a:solidFill>
              <a:ln w="19050">
                <a:solidFill>
                  <a:schemeClr val="lt1"/>
                </a:solidFill>
              </a:ln>
              <a:effectLst/>
            </c:spPr>
            <c:extLst>
              <c:ext xmlns:c16="http://schemas.microsoft.com/office/drawing/2014/chart" uri="{C3380CC4-5D6E-409C-BE32-E72D297353CC}">
                <c16:uniqueId val="{00000019-889D-4D4A-9C00-E7D60D775987}"/>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889D-4D4A-9C00-E7D60D775987}"/>
              </c:ext>
            </c:extLst>
          </c:dPt>
          <c:dPt>
            <c:idx val="1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D-889D-4D4A-9C00-E7D60D775987}"/>
              </c:ext>
            </c:extLst>
          </c:dPt>
          <c:dPt>
            <c:idx val="1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F-889D-4D4A-9C00-E7D60D775987}"/>
              </c:ext>
            </c:extLst>
          </c:dPt>
          <c:dPt>
            <c:idx val="16"/>
            <c:bubble3D val="0"/>
            <c:spPr>
              <a:solidFill>
                <a:srgbClr val="E12809"/>
              </a:solidFill>
              <a:ln w="19050">
                <a:solidFill>
                  <a:schemeClr val="lt1"/>
                </a:solidFill>
              </a:ln>
              <a:effectLst/>
            </c:spPr>
            <c:extLst>
              <c:ext xmlns:c16="http://schemas.microsoft.com/office/drawing/2014/chart" uri="{C3380CC4-5D6E-409C-BE32-E72D297353CC}">
                <c16:uniqueId val="{00000021-889D-4D4A-9C00-E7D60D775987}"/>
              </c:ext>
            </c:extLst>
          </c:dPt>
          <c:dPt>
            <c:idx val="1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3-889D-4D4A-9C00-E7D60D775987}"/>
              </c:ext>
            </c:extLst>
          </c:dPt>
          <c:dPt>
            <c:idx val="18"/>
            <c:bubble3D val="0"/>
            <c:spPr>
              <a:solidFill>
                <a:schemeClr val="accent6"/>
              </a:solidFill>
              <a:ln w="19050">
                <a:solidFill>
                  <a:schemeClr val="lt1"/>
                </a:solidFill>
              </a:ln>
              <a:effectLst/>
            </c:spPr>
            <c:extLst>
              <c:ext xmlns:c16="http://schemas.microsoft.com/office/drawing/2014/chart" uri="{C3380CC4-5D6E-409C-BE32-E72D297353CC}">
                <c16:uniqueId val="{00000025-889D-4D4A-9C00-E7D60D775987}"/>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889D-4D4A-9C00-E7D60D775987}"/>
              </c:ext>
            </c:extLst>
          </c:dPt>
          <c:dPt>
            <c:idx val="2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29-889D-4D4A-9C00-E7D60D775987}"/>
              </c:ext>
            </c:extLst>
          </c:dPt>
          <c:dPt>
            <c:idx val="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2B-889D-4D4A-9C00-E7D60D775987}"/>
              </c:ext>
            </c:extLst>
          </c:dPt>
          <c:dPt>
            <c:idx val="22"/>
            <c:bubble3D val="0"/>
            <c:spPr>
              <a:solidFill>
                <a:srgbClr val="E12809"/>
              </a:solidFill>
              <a:ln w="19050">
                <a:solidFill>
                  <a:schemeClr val="lt1"/>
                </a:solidFill>
              </a:ln>
              <a:effectLst/>
            </c:spPr>
            <c:extLst>
              <c:ext xmlns:c16="http://schemas.microsoft.com/office/drawing/2014/chart" uri="{C3380CC4-5D6E-409C-BE32-E72D297353CC}">
                <c16:uniqueId val="{0000002D-889D-4D4A-9C00-E7D60D775987}"/>
              </c:ext>
            </c:extLst>
          </c:dPt>
          <c:dPt>
            <c:idx val="2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F-889D-4D4A-9C00-E7D60D775987}"/>
              </c:ext>
            </c:extLst>
          </c:dPt>
          <c:dPt>
            <c:idx val="24"/>
            <c:bubble3D val="0"/>
            <c:spPr>
              <a:solidFill>
                <a:schemeClr val="accent6"/>
              </a:solidFill>
              <a:ln w="19050">
                <a:solidFill>
                  <a:schemeClr val="lt1"/>
                </a:solidFill>
              </a:ln>
              <a:effectLst/>
            </c:spPr>
            <c:extLst>
              <c:ext xmlns:c16="http://schemas.microsoft.com/office/drawing/2014/chart" uri="{C3380CC4-5D6E-409C-BE32-E72D297353CC}">
                <c16:uniqueId val="{00000031-889D-4D4A-9C00-E7D60D775987}"/>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889D-4D4A-9C00-E7D60D775987}"/>
              </c:ext>
            </c:extLst>
          </c:dPt>
          <c:dPt>
            <c:idx val="2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35-889D-4D4A-9C00-E7D60D77598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889D-4D4A-9C00-E7D60D775987}"/>
              </c:ext>
            </c:extLst>
          </c:dPt>
          <c:dPt>
            <c:idx val="28"/>
            <c:bubble3D val="0"/>
            <c:spPr>
              <a:solidFill>
                <a:srgbClr val="E12809"/>
              </a:solidFill>
              <a:ln w="19050">
                <a:solidFill>
                  <a:schemeClr val="lt1"/>
                </a:solidFill>
              </a:ln>
              <a:effectLst/>
            </c:spPr>
            <c:extLst>
              <c:ext xmlns:c16="http://schemas.microsoft.com/office/drawing/2014/chart" uri="{C3380CC4-5D6E-409C-BE32-E72D297353CC}">
                <c16:uniqueId val="{00000039-889D-4D4A-9C00-E7D60D775987}"/>
              </c:ext>
            </c:extLst>
          </c:dPt>
          <c:dPt>
            <c:idx val="2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3B-889D-4D4A-9C00-E7D60D775987}"/>
              </c:ext>
            </c:extLst>
          </c:dPt>
          <c:dPt>
            <c:idx val="30"/>
            <c:bubble3D val="0"/>
            <c:spPr>
              <a:solidFill>
                <a:schemeClr val="accent6"/>
              </a:solidFill>
              <a:ln w="19050">
                <a:solidFill>
                  <a:schemeClr val="lt1"/>
                </a:solidFill>
              </a:ln>
              <a:effectLst/>
            </c:spPr>
            <c:extLst>
              <c:ext xmlns:c16="http://schemas.microsoft.com/office/drawing/2014/chart" uri="{C3380CC4-5D6E-409C-BE32-E72D297353CC}">
                <c16:uniqueId val="{0000003D-889D-4D4A-9C00-E7D60D775987}"/>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889D-4D4A-9C00-E7D60D775987}"/>
              </c:ext>
            </c:extLst>
          </c:dPt>
          <c:dPt>
            <c:idx val="3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1-889D-4D4A-9C00-E7D60D775987}"/>
              </c:ext>
            </c:extLst>
          </c:dPt>
          <c:dPt>
            <c:idx val="3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3-889D-4D4A-9C00-E7D60D775987}"/>
              </c:ext>
            </c:extLst>
          </c:dPt>
          <c:dPt>
            <c:idx val="34"/>
            <c:bubble3D val="0"/>
            <c:spPr>
              <a:solidFill>
                <a:srgbClr val="E12809"/>
              </a:solidFill>
              <a:ln w="19050">
                <a:solidFill>
                  <a:schemeClr val="lt1"/>
                </a:solidFill>
              </a:ln>
              <a:effectLst/>
            </c:spPr>
            <c:extLst>
              <c:ext xmlns:c16="http://schemas.microsoft.com/office/drawing/2014/chart" uri="{C3380CC4-5D6E-409C-BE32-E72D297353CC}">
                <c16:uniqueId val="{00000045-889D-4D4A-9C00-E7D60D775987}"/>
              </c:ext>
            </c:extLst>
          </c:dPt>
          <c:dPt>
            <c:idx val="3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47-889D-4D4A-9C00-E7D60D775987}"/>
              </c:ext>
            </c:extLst>
          </c:dPt>
          <c:dPt>
            <c:idx val="36"/>
            <c:bubble3D val="0"/>
            <c:spPr>
              <a:solidFill>
                <a:schemeClr val="accent6"/>
              </a:solidFill>
              <a:ln w="19050">
                <a:solidFill>
                  <a:schemeClr val="lt1"/>
                </a:solidFill>
              </a:ln>
              <a:effectLst/>
            </c:spPr>
            <c:extLst>
              <c:ext xmlns:c16="http://schemas.microsoft.com/office/drawing/2014/chart" uri="{C3380CC4-5D6E-409C-BE32-E72D297353CC}">
                <c16:uniqueId val="{00000049-889D-4D4A-9C00-E7D60D775987}"/>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889D-4D4A-9C00-E7D60D775987}"/>
              </c:ext>
            </c:extLst>
          </c:dPt>
          <c:dPt>
            <c:idx val="3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D-889D-4D4A-9C00-E7D60D775987}"/>
              </c:ext>
            </c:extLst>
          </c:dPt>
          <c:dPt>
            <c:idx val="3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F-889D-4D4A-9C00-E7D60D775987}"/>
              </c:ext>
            </c:extLst>
          </c:dPt>
          <c:dPt>
            <c:idx val="40"/>
            <c:bubble3D val="0"/>
            <c:spPr>
              <a:solidFill>
                <a:srgbClr val="E12809"/>
              </a:solidFill>
              <a:ln w="19050">
                <a:solidFill>
                  <a:schemeClr val="lt1"/>
                </a:solidFill>
              </a:ln>
              <a:effectLst/>
            </c:spPr>
            <c:extLst>
              <c:ext xmlns:c16="http://schemas.microsoft.com/office/drawing/2014/chart" uri="{C3380CC4-5D6E-409C-BE32-E72D297353CC}">
                <c16:uniqueId val="{00000051-889D-4D4A-9C00-E7D60D775987}"/>
              </c:ext>
            </c:extLst>
          </c:dPt>
          <c:dPt>
            <c:idx val="4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3-889D-4D4A-9C00-E7D60D775987}"/>
              </c:ext>
            </c:extLst>
          </c:dPt>
          <c:dPt>
            <c:idx val="42"/>
            <c:bubble3D val="0"/>
            <c:spPr>
              <a:solidFill>
                <a:schemeClr val="accent6"/>
              </a:solidFill>
              <a:ln w="19050">
                <a:solidFill>
                  <a:schemeClr val="lt1"/>
                </a:solidFill>
              </a:ln>
              <a:effectLst/>
            </c:spPr>
            <c:extLst>
              <c:ext xmlns:c16="http://schemas.microsoft.com/office/drawing/2014/chart" uri="{C3380CC4-5D6E-409C-BE32-E72D297353CC}">
                <c16:uniqueId val="{00000055-889D-4D4A-9C00-E7D60D775987}"/>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889D-4D4A-9C00-E7D60D775987}"/>
              </c:ext>
            </c:extLst>
          </c:dPt>
          <c:dPt>
            <c:idx val="4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59-889D-4D4A-9C00-E7D60D775987}"/>
              </c:ext>
            </c:extLst>
          </c:dPt>
          <c:dPt>
            <c:idx val="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5B-889D-4D4A-9C00-E7D60D775987}"/>
              </c:ext>
            </c:extLst>
          </c:dPt>
          <c:dPt>
            <c:idx val="46"/>
            <c:bubble3D val="0"/>
            <c:spPr>
              <a:solidFill>
                <a:srgbClr val="E12809"/>
              </a:solidFill>
              <a:ln w="19050">
                <a:solidFill>
                  <a:schemeClr val="lt1"/>
                </a:solidFill>
              </a:ln>
              <a:effectLst/>
            </c:spPr>
            <c:extLst>
              <c:ext xmlns:c16="http://schemas.microsoft.com/office/drawing/2014/chart" uri="{C3380CC4-5D6E-409C-BE32-E72D297353CC}">
                <c16:uniqueId val="{0000005D-889D-4D4A-9C00-E7D60D775987}"/>
              </c:ext>
            </c:extLst>
          </c:dPt>
          <c:dPt>
            <c:idx val="4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F-889D-4D4A-9C00-E7D60D775987}"/>
              </c:ext>
            </c:extLst>
          </c:dPt>
          <c:dPt>
            <c:idx val="48"/>
            <c:bubble3D val="0"/>
            <c:spPr>
              <a:solidFill>
                <a:schemeClr val="accent6"/>
              </a:solidFill>
              <a:ln w="19050">
                <a:solidFill>
                  <a:schemeClr val="lt1"/>
                </a:solidFill>
              </a:ln>
              <a:effectLst/>
            </c:spPr>
            <c:extLst>
              <c:ext xmlns:c16="http://schemas.microsoft.com/office/drawing/2014/chart" uri="{C3380CC4-5D6E-409C-BE32-E72D297353CC}">
                <c16:uniqueId val="{00000061-889D-4D4A-9C00-E7D60D775987}"/>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889D-4D4A-9C00-E7D60D775987}"/>
              </c:ext>
            </c:extLst>
          </c:dPt>
          <c:dPt>
            <c:idx val="5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65-889D-4D4A-9C00-E7D60D775987}"/>
              </c:ext>
            </c:extLst>
          </c:dPt>
          <c:dPt>
            <c:idx val="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67-889D-4D4A-9C00-E7D60D775987}"/>
              </c:ext>
            </c:extLst>
          </c:dPt>
          <c:dPt>
            <c:idx val="52"/>
            <c:bubble3D val="0"/>
            <c:spPr>
              <a:solidFill>
                <a:srgbClr val="E12809"/>
              </a:solidFill>
              <a:ln w="19050">
                <a:solidFill>
                  <a:schemeClr val="lt1"/>
                </a:solidFill>
              </a:ln>
              <a:effectLst/>
            </c:spPr>
            <c:extLst>
              <c:ext xmlns:c16="http://schemas.microsoft.com/office/drawing/2014/chart" uri="{C3380CC4-5D6E-409C-BE32-E72D297353CC}">
                <c16:uniqueId val="{00000069-889D-4D4A-9C00-E7D60D775987}"/>
              </c:ext>
            </c:extLst>
          </c:dPt>
          <c:dPt>
            <c:idx val="5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6B-889D-4D4A-9C00-E7D60D775987}"/>
              </c:ext>
            </c:extLst>
          </c:dPt>
          <c:dPt>
            <c:idx val="54"/>
            <c:bubble3D val="0"/>
            <c:spPr>
              <a:solidFill>
                <a:schemeClr val="accent6"/>
              </a:solidFill>
              <a:ln w="19050">
                <a:solidFill>
                  <a:schemeClr val="lt1"/>
                </a:solidFill>
              </a:ln>
              <a:effectLst/>
            </c:spPr>
            <c:extLst>
              <c:ext xmlns:c16="http://schemas.microsoft.com/office/drawing/2014/chart" uri="{C3380CC4-5D6E-409C-BE32-E72D297353CC}">
                <c16:uniqueId val="{0000006D-889D-4D4A-9C00-E7D60D775987}"/>
              </c:ext>
            </c:extLst>
          </c:dPt>
          <c:dPt>
            <c:idx val="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F-889D-4D4A-9C00-E7D60D775987}"/>
              </c:ext>
            </c:extLst>
          </c:dPt>
          <c:dPt>
            <c:idx val="5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71-889D-4D4A-9C00-E7D60D775987}"/>
              </c:ext>
            </c:extLst>
          </c:dPt>
          <c:dPt>
            <c:idx val="5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3-889D-4D4A-9C00-E7D60D775987}"/>
              </c:ext>
            </c:extLst>
          </c:dPt>
          <c:dPt>
            <c:idx val="58"/>
            <c:bubble3D val="0"/>
            <c:spPr>
              <a:solidFill>
                <a:srgbClr val="E12809"/>
              </a:solidFill>
              <a:ln w="19050">
                <a:solidFill>
                  <a:schemeClr val="lt1"/>
                </a:solidFill>
              </a:ln>
              <a:effectLst/>
            </c:spPr>
            <c:extLst>
              <c:ext xmlns:c16="http://schemas.microsoft.com/office/drawing/2014/chart" uri="{C3380CC4-5D6E-409C-BE32-E72D297353CC}">
                <c16:uniqueId val="{00000075-889D-4D4A-9C00-E7D60D775987}"/>
              </c:ext>
            </c:extLst>
          </c:dPt>
          <c:dPt>
            <c:idx val="5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77-889D-4D4A-9C00-E7D60D775987}"/>
              </c:ext>
            </c:extLst>
          </c:dPt>
          <c:val>
            <c:numRef>
              <c:f>'Env Wheel'!$B$2:$B$61</c:f>
              <c:numCache>
                <c:formatCode>General</c:formatCode>
                <c:ptCount val="6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0</c:v>
                </c:pt>
                <c:pt idx="16">
                  <c:v>0</c:v>
                </c:pt>
                <c:pt idx="17">
                  <c:v>1</c:v>
                </c:pt>
                <c:pt idx="18">
                  <c:v>0</c:v>
                </c:pt>
                <c:pt idx="19">
                  <c:v>0</c:v>
                </c:pt>
                <c:pt idx="20">
                  <c:v>0</c:v>
                </c:pt>
                <c:pt idx="21">
                  <c:v>0</c:v>
                </c:pt>
                <c:pt idx="22">
                  <c:v>0</c:v>
                </c:pt>
                <c:pt idx="23">
                  <c:v>1</c:v>
                </c:pt>
                <c:pt idx="24">
                  <c:v>0</c:v>
                </c:pt>
                <c:pt idx="25">
                  <c:v>0</c:v>
                </c:pt>
                <c:pt idx="26">
                  <c:v>0</c:v>
                </c:pt>
                <c:pt idx="27">
                  <c:v>0</c:v>
                </c:pt>
                <c:pt idx="28">
                  <c:v>0</c:v>
                </c:pt>
                <c:pt idx="29">
                  <c:v>1</c:v>
                </c:pt>
                <c:pt idx="30">
                  <c:v>0</c:v>
                </c:pt>
                <c:pt idx="31">
                  <c:v>0</c:v>
                </c:pt>
                <c:pt idx="32">
                  <c:v>0</c:v>
                </c:pt>
                <c:pt idx="33">
                  <c:v>0</c:v>
                </c:pt>
                <c:pt idx="34">
                  <c:v>0</c:v>
                </c:pt>
                <c:pt idx="35">
                  <c:v>1</c:v>
                </c:pt>
                <c:pt idx="36">
                  <c:v>0</c:v>
                </c:pt>
                <c:pt idx="37">
                  <c:v>0</c:v>
                </c:pt>
                <c:pt idx="38">
                  <c:v>0</c:v>
                </c:pt>
                <c:pt idx="39">
                  <c:v>0</c:v>
                </c:pt>
                <c:pt idx="40">
                  <c:v>0</c:v>
                </c:pt>
                <c:pt idx="41">
                  <c:v>1</c:v>
                </c:pt>
                <c:pt idx="42">
                  <c:v>0</c:v>
                </c:pt>
                <c:pt idx="43">
                  <c:v>0</c:v>
                </c:pt>
                <c:pt idx="44">
                  <c:v>0</c:v>
                </c:pt>
                <c:pt idx="45">
                  <c:v>0</c:v>
                </c:pt>
                <c:pt idx="46">
                  <c:v>0</c:v>
                </c:pt>
                <c:pt idx="47">
                  <c:v>1</c:v>
                </c:pt>
                <c:pt idx="48">
                  <c:v>0</c:v>
                </c:pt>
                <c:pt idx="49">
                  <c:v>0</c:v>
                </c:pt>
                <c:pt idx="50">
                  <c:v>0</c:v>
                </c:pt>
                <c:pt idx="51">
                  <c:v>0</c:v>
                </c:pt>
                <c:pt idx="52">
                  <c:v>0</c:v>
                </c:pt>
                <c:pt idx="53">
                  <c:v>1</c:v>
                </c:pt>
                <c:pt idx="54">
                  <c:v>0</c:v>
                </c:pt>
                <c:pt idx="55">
                  <c:v>0</c:v>
                </c:pt>
                <c:pt idx="56">
                  <c:v>0</c:v>
                </c:pt>
                <c:pt idx="57">
                  <c:v>0</c:v>
                </c:pt>
                <c:pt idx="58">
                  <c:v>0</c:v>
                </c:pt>
                <c:pt idx="59">
                  <c:v>1</c:v>
                </c:pt>
              </c:numCache>
            </c:numRef>
          </c:val>
          <c:extLst>
            <c:ext xmlns:c16="http://schemas.microsoft.com/office/drawing/2014/chart" uri="{C3380CC4-5D6E-409C-BE32-E72D297353CC}">
              <c16:uniqueId val="{00000078-889D-4D4A-9C00-E7D60D775987}"/>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9033876015769"/>
          <c:y val="2.5415156675253604E-2"/>
          <c:w val="0.77352188100917885"/>
          <c:h val="0.94916968664949275"/>
        </c:manualLayout>
      </c:layout>
      <c:doughnutChart>
        <c:varyColors val="1"/>
        <c:ser>
          <c:idx val="0"/>
          <c:order val="0"/>
          <c:explosion val="14"/>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B10-462C-99EE-46A5C31E1F05}"/>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CB10-462C-99EE-46A5C31E1F05}"/>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CB10-462C-99EE-46A5C31E1F05}"/>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CB10-462C-99EE-46A5C31E1F05}"/>
              </c:ext>
            </c:extLst>
          </c:dPt>
          <c:dPt>
            <c:idx val="4"/>
            <c:bubble3D val="0"/>
            <c:spPr>
              <a:solidFill>
                <a:srgbClr val="E12809"/>
              </a:solidFill>
              <a:ln w="19050">
                <a:solidFill>
                  <a:schemeClr val="lt1"/>
                </a:solidFill>
              </a:ln>
              <a:effectLst/>
            </c:spPr>
            <c:extLst>
              <c:ext xmlns:c16="http://schemas.microsoft.com/office/drawing/2014/chart" uri="{C3380CC4-5D6E-409C-BE32-E72D297353CC}">
                <c16:uniqueId val="{00000009-CB10-462C-99EE-46A5C31E1F05}"/>
              </c:ext>
            </c:extLst>
          </c:dPt>
          <c:dPt>
            <c:idx val="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0B-CB10-462C-99EE-46A5C31E1F05}"/>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0D-CB10-462C-99EE-46A5C31E1F05}"/>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CB10-462C-99EE-46A5C31E1F05}"/>
              </c:ext>
            </c:extLst>
          </c:dPt>
          <c:dPt>
            <c:idx val="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1-CB10-462C-99EE-46A5C31E1F05}"/>
              </c:ext>
            </c:extLst>
          </c:dPt>
          <c:dPt>
            <c:idx val="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3-CB10-462C-99EE-46A5C31E1F05}"/>
              </c:ext>
            </c:extLst>
          </c:dPt>
          <c:dPt>
            <c:idx val="10"/>
            <c:bubble3D val="0"/>
            <c:spPr>
              <a:solidFill>
                <a:srgbClr val="E12809"/>
              </a:solidFill>
              <a:ln w="19050">
                <a:solidFill>
                  <a:schemeClr val="lt1"/>
                </a:solidFill>
              </a:ln>
              <a:effectLst/>
            </c:spPr>
            <c:extLst>
              <c:ext xmlns:c16="http://schemas.microsoft.com/office/drawing/2014/chart" uri="{C3380CC4-5D6E-409C-BE32-E72D297353CC}">
                <c16:uniqueId val="{00000015-CB10-462C-99EE-46A5C31E1F05}"/>
              </c:ext>
            </c:extLst>
          </c:dPt>
          <c:dPt>
            <c:idx val="1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17-CB10-462C-99EE-46A5C31E1F05}"/>
              </c:ext>
            </c:extLst>
          </c:dPt>
          <c:dPt>
            <c:idx val="12"/>
            <c:bubble3D val="0"/>
            <c:spPr>
              <a:solidFill>
                <a:schemeClr val="accent6"/>
              </a:solidFill>
              <a:ln w="19050">
                <a:solidFill>
                  <a:schemeClr val="lt1"/>
                </a:solidFill>
              </a:ln>
              <a:effectLst/>
            </c:spPr>
            <c:extLst>
              <c:ext xmlns:c16="http://schemas.microsoft.com/office/drawing/2014/chart" uri="{C3380CC4-5D6E-409C-BE32-E72D297353CC}">
                <c16:uniqueId val="{00000019-CB10-462C-99EE-46A5C31E1F05}"/>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CB10-462C-99EE-46A5C31E1F05}"/>
              </c:ext>
            </c:extLst>
          </c:dPt>
          <c:dPt>
            <c:idx val="1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D-CB10-462C-99EE-46A5C31E1F05}"/>
              </c:ext>
            </c:extLst>
          </c:dPt>
          <c:dPt>
            <c:idx val="1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F-CB10-462C-99EE-46A5C31E1F05}"/>
              </c:ext>
            </c:extLst>
          </c:dPt>
          <c:dPt>
            <c:idx val="16"/>
            <c:bubble3D val="0"/>
            <c:spPr>
              <a:solidFill>
                <a:srgbClr val="E12809"/>
              </a:solidFill>
              <a:ln w="19050">
                <a:solidFill>
                  <a:schemeClr val="lt1"/>
                </a:solidFill>
              </a:ln>
              <a:effectLst/>
            </c:spPr>
            <c:extLst>
              <c:ext xmlns:c16="http://schemas.microsoft.com/office/drawing/2014/chart" uri="{C3380CC4-5D6E-409C-BE32-E72D297353CC}">
                <c16:uniqueId val="{00000021-CB10-462C-99EE-46A5C31E1F05}"/>
              </c:ext>
            </c:extLst>
          </c:dPt>
          <c:dPt>
            <c:idx val="1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3-CB10-462C-99EE-46A5C31E1F05}"/>
              </c:ext>
            </c:extLst>
          </c:dPt>
          <c:dPt>
            <c:idx val="18"/>
            <c:bubble3D val="0"/>
            <c:spPr>
              <a:solidFill>
                <a:schemeClr val="accent6"/>
              </a:solidFill>
              <a:ln w="19050">
                <a:solidFill>
                  <a:schemeClr val="lt1"/>
                </a:solidFill>
              </a:ln>
              <a:effectLst/>
            </c:spPr>
            <c:extLst>
              <c:ext xmlns:c16="http://schemas.microsoft.com/office/drawing/2014/chart" uri="{C3380CC4-5D6E-409C-BE32-E72D297353CC}">
                <c16:uniqueId val="{00000025-CB10-462C-99EE-46A5C31E1F05}"/>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CB10-462C-99EE-46A5C31E1F05}"/>
              </c:ext>
            </c:extLst>
          </c:dPt>
          <c:dPt>
            <c:idx val="2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29-CB10-462C-99EE-46A5C31E1F05}"/>
              </c:ext>
            </c:extLst>
          </c:dPt>
          <c:dPt>
            <c:idx val="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2B-CB10-462C-99EE-46A5C31E1F05}"/>
              </c:ext>
            </c:extLst>
          </c:dPt>
          <c:dPt>
            <c:idx val="22"/>
            <c:bubble3D val="0"/>
            <c:spPr>
              <a:solidFill>
                <a:srgbClr val="E12809"/>
              </a:solidFill>
              <a:ln w="19050">
                <a:solidFill>
                  <a:schemeClr val="lt1"/>
                </a:solidFill>
              </a:ln>
              <a:effectLst/>
            </c:spPr>
            <c:extLst>
              <c:ext xmlns:c16="http://schemas.microsoft.com/office/drawing/2014/chart" uri="{C3380CC4-5D6E-409C-BE32-E72D297353CC}">
                <c16:uniqueId val="{0000002D-CB10-462C-99EE-46A5C31E1F05}"/>
              </c:ext>
            </c:extLst>
          </c:dPt>
          <c:dPt>
            <c:idx val="2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F-CB10-462C-99EE-46A5C31E1F05}"/>
              </c:ext>
            </c:extLst>
          </c:dPt>
          <c:dPt>
            <c:idx val="24"/>
            <c:bubble3D val="0"/>
            <c:spPr>
              <a:solidFill>
                <a:schemeClr val="accent6"/>
              </a:solidFill>
              <a:ln w="19050">
                <a:solidFill>
                  <a:schemeClr val="lt1"/>
                </a:solidFill>
              </a:ln>
              <a:effectLst/>
            </c:spPr>
            <c:extLst>
              <c:ext xmlns:c16="http://schemas.microsoft.com/office/drawing/2014/chart" uri="{C3380CC4-5D6E-409C-BE32-E72D297353CC}">
                <c16:uniqueId val="{00000031-CB10-462C-99EE-46A5C31E1F05}"/>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CB10-462C-99EE-46A5C31E1F05}"/>
              </c:ext>
            </c:extLst>
          </c:dPt>
          <c:dPt>
            <c:idx val="2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35-CB10-462C-99EE-46A5C31E1F0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CB10-462C-99EE-46A5C31E1F05}"/>
              </c:ext>
            </c:extLst>
          </c:dPt>
          <c:dPt>
            <c:idx val="28"/>
            <c:bubble3D val="0"/>
            <c:spPr>
              <a:solidFill>
                <a:srgbClr val="E12809"/>
              </a:solidFill>
              <a:ln w="19050">
                <a:solidFill>
                  <a:schemeClr val="lt1"/>
                </a:solidFill>
              </a:ln>
              <a:effectLst/>
            </c:spPr>
            <c:extLst>
              <c:ext xmlns:c16="http://schemas.microsoft.com/office/drawing/2014/chart" uri="{C3380CC4-5D6E-409C-BE32-E72D297353CC}">
                <c16:uniqueId val="{00000039-CB10-462C-99EE-46A5C31E1F05}"/>
              </c:ext>
            </c:extLst>
          </c:dPt>
          <c:dPt>
            <c:idx val="2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3B-CB10-462C-99EE-46A5C31E1F05}"/>
              </c:ext>
            </c:extLst>
          </c:dPt>
          <c:dPt>
            <c:idx val="30"/>
            <c:bubble3D val="0"/>
            <c:spPr>
              <a:solidFill>
                <a:schemeClr val="accent6"/>
              </a:solidFill>
              <a:ln w="19050">
                <a:solidFill>
                  <a:schemeClr val="lt1"/>
                </a:solidFill>
              </a:ln>
              <a:effectLst/>
            </c:spPr>
            <c:extLst>
              <c:ext xmlns:c16="http://schemas.microsoft.com/office/drawing/2014/chart" uri="{C3380CC4-5D6E-409C-BE32-E72D297353CC}">
                <c16:uniqueId val="{0000003D-CB10-462C-99EE-46A5C31E1F05}"/>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CB10-462C-99EE-46A5C31E1F05}"/>
              </c:ext>
            </c:extLst>
          </c:dPt>
          <c:dPt>
            <c:idx val="3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1-CB10-462C-99EE-46A5C31E1F05}"/>
              </c:ext>
            </c:extLst>
          </c:dPt>
          <c:dPt>
            <c:idx val="3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3-CB10-462C-99EE-46A5C31E1F05}"/>
              </c:ext>
            </c:extLst>
          </c:dPt>
          <c:dPt>
            <c:idx val="34"/>
            <c:bubble3D val="0"/>
            <c:spPr>
              <a:solidFill>
                <a:srgbClr val="E12809"/>
              </a:solidFill>
              <a:ln w="19050">
                <a:solidFill>
                  <a:schemeClr val="lt1"/>
                </a:solidFill>
              </a:ln>
              <a:effectLst/>
            </c:spPr>
            <c:extLst>
              <c:ext xmlns:c16="http://schemas.microsoft.com/office/drawing/2014/chart" uri="{C3380CC4-5D6E-409C-BE32-E72D297353CC}">
                <c16:uniqueId val="{00000045-CB10-462C-99EE-46A5C31E1F05}"/>
              </c:ext>
            </c:extLst>
          </c:dPt>
          <c:dPt>
            <c:idx val="3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47-CB10-462C-99EE-46A5C31E1F05}"/>
              </c:ext>
            </c:extLst>
          </c:dPt>
          <c:dPt>
            <c:idx val="36"/>
            <c:bubble3D val="0"/>
            <c:spPr>
              <a:solidFill>
                <a:schemeClr val="accent6"/>
              </a:solidFill>
              <a:ln w="19050">
                <a:solidFill>
                  <a:schemeClr val="lt1"/>
                </a:solidFill>
              </a:ln>
              <a:effectLst/>
            </c:spPr>
            <c:extLst>
              <c:ext xmlns:c16="http://schemas.microsoft.com/office/drawing/2014/chart" uri="{C3380CC4-5D6E-409C-BE32-E72D297353CC}">
                <c16:uniqueId val="{00000049-CB10-462C-99EE-46A5C31E1F05}"/>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CB10-462C-99EE-46A5C31E1F05}"/>
              </c:ext>
            </c:extLst>
          </c:dPt>
          <c:dPt>
            <c:idx val="3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D-CB10-462C-99EE-46A5C31E1F05}"/>
              </c:ext>
            </c:extLst>
          </c:dPt>
          <c:dPt>
            <c:idx val="3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F-CB10-462C-99EE-46A5C31E1F05}"/>
              </c:ext>
            </c:extLst>
          </c:dPt>
          <c:dPt>
            <c:idx val="40"/>
            <c:bubble3D val="0"/>
            <c:spPr>
              <a:solidFill>
                <a:srgbClr val="E12809"/>
              </a:solidFill>
              <a:ln w="19050">
                <a:solidFill>
                  <a:schemeClr val="lt1"/>
                </a:solidFill>
              </a:ln>
              <a:effectLst/>
            </c:spPr>
            <c:extLst>
              <c:ext xmlns:c16="http://schemas.microsoft.com/office/drawing/2014/chart" uri="{C3380CC4-5D6E-409C-BE32-E72D297353CC}">
                <c16:uniqueId val="{00000051-CB10-462C-99EE-46A5C31E1F05}"/>
              </c:ext>
            </c:extLst>
          </c:dPt>
          <c:dPt>
            <c:idx val="4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3-CB10-462C-99EE-46A5C31E1F05}"/>
              </c:ext>
            </c:extLst>
          </c:dPt>
          <c:dPt>
            <c:idx val="42"/>
            <c:bubble3D val="0"/>
            <c:spPr>
              <a:solidFill>
                <a:schemeClr val="accent6"/>
              </a:solidFill>
              <a:ln w="19050">
                <a:solidFill>
                  <a:schemeClr val="lt1"/>
                </a:solidFill>
              </a:ln>
              <a:effectLst/>
            </c:spPr>
            <c:extLst>
              <c:ext xmlns:c16="http://schemas.microsoft.com/office/drawing/2014/chart" uri="{C3380CC4-5D6E-409C-BE32-E72D297353CC}">
                <c16:uniqueId val="{00000055-CB10-462C-99EE-46A5C31E1F05}"/>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CB10-462C-99EE-46A5C31E1F05}"/>
              </c:ext>
            </c:extLst>
          </c:dPt>
          <c:dPt>
            <c:idx val="4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59-CB10-462C-99EE-46A5C31E1F05}"/>
              </c:ext>
            </c:extLst>
          </c:dPt>
          <c:dPt>
            <c:idx val="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5B-CB10-462C-99EE-46A5C31E1F05}"/>
              </c:ext>
            </c:extLst>
          </c:dPt>
          <c:dPt>
            <c:idx val="46"/>
            <c:bubble3D val="0"/>
            <c:spPr>
              <a:solidFill>
                <a:srgbClr val="E12809"/>
              </a:solidFill>
              <a:ln w="19050">
                <a:solidFill>
                  <a:schemeClr val="lt1"/>
                </a:solidFill>
              </a:ln>
              <a:effectLst/>
            </c:spPr>
            <c:extLst>
              <c:ext xmlns:c16="http://schemas.microsoft.com/office/drawing/2014/chart" uri="{C3380CC4-5D6E-409C-BE32-E72D297353CC}">
                <c16:uniqueId val="{0000005D-CB10-462C-99EE-46A5C31E1F05}"/>
              </c:ext>
            </c:extLst>
          </c:dPt>
          <c:dPt>
            <c:idx val="4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F-CB10-462C-99EE-46A5C31E1F05}"/>
              </c:ext>
            </c:extLst>
          </c:dPt>
          <c:dPt>
            <c:idx val="48"/>
            <c:bubble3D val="0"/>
            <c:spPr>
              <a:solidFill>
                <a:schemeClr val="accent6"/>
              </a:solidFill>
              <a:ln w="19050">
                <a:solidFill>
                  <a:schemeClr val="lt1"/>
                </a:solidFill>
              </a:ln>
              <a:effectLst/>
            </c:spPr>
            <c:extLst>
              <c:ext xmlns:c16="http://schemas.microsoft.com/office/drawing/2014/chart" uri="{C3380CC4-5D6E-409C-BE32-E72D297353CC}">
                <c16:uniqueId val="{00000061-CB10-462C-99EE-46A5C31E1F05}"/>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CB10-462C-99EE-46A5C31E1F05}"/>
              </c:ext>
            </c:extLst>
          </c:dPt>
          <c:dPt>
            <c:idx val="5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65-CB10-462C-99EE-46A5C31E1F05}"/>
              </c:ext>
            </c:extLst>
          </c:dPt>
          <c:dPt>
            <c:idx val="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67-CB10-462C-99EE-46A5C31E1F05}"/>
              </c:ext>
            </c:extLst>
          </c:dPt>
          <c:dPt>
            <c:idx val="52"/>
            <c:bubble3D val="0"/>
            <c:spPr>
              <a:solidFill>
                <a:srgbClr val="E12809"/>
              </a:solidFill>
              <a:ln w="19050">
                <a:solidFill>
                  <a:schemeClr val="lt1"/>
                </a:solidFill>
              </a:ln>
              <a:effectLst/>
            </c:spPr>
            <c:extLst>
              <c:ext xmlns:c16="http://schemas.microsoft.com/office/drawing/2014/chart" uri="{C3380CC4-5D6E-409C-BE32-E72D297353CC}">
                <c16:uniqueId val="{00000069-CB10-462C-99EE-46A5C31E1F05}"/>
              </c:ext>
            </c:extLst>
          </c:dPt>
          <c:dPt>
            <c:idx val="5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6B-CB10-462C-99EE-46A5C31E1F05}"/>
              </c:ext>
            </c:extLst>
          </c:dPt>
          <c:dPt>
            <c:idx val="54"/>
            <c:bubble3D val="0"/>
            <c:spPr>
              <a:solidFill>
                <a:schemeClr val="accent6"/>
              </a:solidFill>
              <a:ln w="19050">
                <a:solidFill>
                  <a:schemeClr val="lt1"/>
                </a:solidFill>
              </a:ln>
              <a:effectLst/>
            </c:spPr>
            <c:extLst>
              <c:ext xmlns:c16="http://schemas.microsoft.com/office/drawing/2014/chart" uri="{C3380CC4-5D6E-409C-BE32-E72D297353CC}">
                <c16:uniqueId val="{0000006D-CB10-462C-99EE-46A5C31E1F05}"/>
              </c:ext>
            </c:extLst>
          </c:dPt>
          <c:dPt>
            <c:idx val="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F-CB10-462C-99EE-46A5C31E1F05}"/>
              </c:ext>
            </c:extLst>
          </c:dPt>
          <c:dPt>
            <c:idx val="5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71-CB10-462C-99EE-46A5C31E1F05}"/>
              </c:ext>
            </c:extLst>
          </c:dPt>
          <c:dPt>
            <c:idx val="5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3-CB10-462C-99EE-46A5C31E1F05}"/>
              </c:ext>
            </c:extLst>
          </c:dPt>
          <c:dPt>
            <c:idx val="58"/>
            <c:bubble3D val="0"/>
            <c:spPr>
              <a:solidFill>
                <a:srgbClr val="E12809"/>
              </a:solidFill>
              <a:ln w="19050">
                <a:solidFill>
                  <a:schemeClr val="lt1"/>
                </a:solidFill>
              </a:ln>
              <a:effectLst/>
            </c:spPr>
            <c:extLst>
              <c:ext xmlns:c16="http://schemas.microsoft.com/office/drawing/2014/chart" uri="{C3380CC4-5D6E-409C-BE32-E72D297353CC}">
                <c16:uniqueId val="{00000075-CB10-462C-99EE-46A5C31E1F05}"/>
              </c:ext>
            </c:extLst>
          </c:dPt>
          <c:dPt>
            <c:idx val="5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77-CB10-462C-99EE-46A5C31E1F05}"/>
              </c:ext>
            </c:extLst>
          </c:dPt>
          <c:dPt>
            <c:idx val="60"/>
            <c:bubble3D val="0"/>
            <c:spPr>
              <a:solidFill>
                <a:schemeClr val="accent6"/>
              </a:solidFill>
              <a:ln w="19050">
                <a:solidFill>
                  <a:schemeClr val="lt1"/>
                </a:solidFill>
              </a:ln>
              <a:effectLst/>
            </c:spPr>
            <c:extLst>
              <c:ext xmlns:c16="http://schemas.microsoft.com/office/drawing/2014/chart" uri="{C3380CC4-5D6E-409C-BE32-E72D297353CC}">
                <c16:uniqueId val="{00000079-CB10-462C-99EE-46A5C31E1F05}"/>
              </c:ext>
            </c:extLst>
          </c:dPt>
          <c:dPt>
            <c:idx val="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7B-CB10-462C-99EE-46A5C31E1F05}"/>
              </c:ext>
            </c:extLst>
          </c:dPt>
          <c:dPt>
            <c:idx val="6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7D-CB10-462C-99EE-46A5C31E1F05}"/>
              </c:ext>
            </c:extLst>
          </c:dPt>
          <c:dPt>
            <c:idx val="6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F-CB10-462C-99EE-46A5C31E1F05}"/>
              </c:ext>
            </c:extLst>
          </c:dPt>
          <c:dPt>
            <c:idx val="64"/>
            <c:bubble3D val="0"/>
            <c:spPr>
              <a:solidFill>
                <a:srgbClr val="E12809"/>
              </a:solidFill>
              <a:ln w="19050">
                <a:solidFill>
                  <a:schemeClr val="lt1"/>
                </a:solidFill>
              </a:ln>
              <a:effectLst/>
            </c:spPr>
            <c:extLst>
              <c:ext xmlns:c16="http://schemas.microsoft.com/office/drawing/2014/chart" uri="{C3380CC4-5D6E-409C-BE32-E72D297353CC}">
                <c16:uniqueId val="{00000081-CB10-462C-99EE-46A5C31E1F05}"/>
              </c:ext>
            </c:extLst>
          </c:dPt>
          <c:dPt>
            <c:idx val="6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83-CB10-462C-99EE-46A5C31E1F05}"/>
              </c:ext>
            </c:extLst>
          </c:dPt>
          <c:val>
            <c:numRef>
              <c:f>'Social Wheel'!$B$2:$B$67</c:f>
              <c:numCache>
                <c:formatCode>General</c:formatCode>
                <c:ptCount val="66"/>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0</c:v>
                </c:pt>
                <c:pt idx="16">
                  <c:v>0</c:v>
                </c:pt>
                <c:pt idx="17">
                  <c:v>1</c:v>
                </c:pt>
                <c:pt idx="18">
                  <c:v>0</c:v>
                </c:pt>
                <c:pt idx="19">
                  <c:v>0</c:v>
                </c:pt>
                <c:pt idx="20">
                  <c:v>0</c:v>
                </c:pt>
                <c:pt idx="21">
                  <c:v>0</c:v>
                </c:pt>
                <c:pt idx="22">
                  <c:v>0</c:v>
                </c:pt>
                <c:pt idx="23">
                  <c:v>1</c:v>
                </c:pt>
                <c:pt idx="24">
                  <c:v>0</c:v>
                </c:pt>
                <c:pt idx="25">
                  <c:v>0</c:v>
                </c:pt>
                <c:pt idx="26">
                  <c:v>0</c:v>
                </c:pt>
                <c:pt idx="27">
                  <c:v>0</c:v>
                </c:pt>
                <c:pt idx="28">
                  <c:v>0</c:v>
                </c:pt>
                <c:pt idx="29">
                  <c:v>1</c:v>
                </c:pt>
                <c:pt idx="30">
                  <c:v>0</c:v>
                </c:pt>
                <c:pt idx="31">
                  <c:v>0</c:v>
                </c:pt>
                <c:pt idx="32">
                  <c:v>0</c:v>
                </c:pt>
                <c:pt idx="33">
                  <c:v>0</c:v>
                </c:pt>
                <c:pt idx="34">
                  <c:v>0</c:v>
                </c:pt>
                <c:pt idx="35">
                  <c:v>1</c:v>
                </c:pt>
                <c:pt idx="36">
                  <c:v>0</c:v>
                </c:pt>
                <c:pt idx="37">
                  <c:v>0</c:v>
                </c:pt>
                <c:pt idx="38">
                  <c:v>0</c:v>
                </c:pt>
                <c:pt idx="39">
                  <c:v>0</c:v>
                </c:pt>
                <c:pt idx="40">
                  <c:v>0</c:v>
                </c:pt>
                <c:pt idx="41">
                  <c:v>1</c:v>
                </c:pt>
                <c:pt idx="42">
                  <c:v>0</c:v>
                </c:pt>
                <c:pt idx="43">
                  <c:v>0</c:v>
                </c:pt>
                <c:pt idx="44">
                  <c:v>0</c:v>
                </c:pt>
                <c:pt idx="45">
                  <c:v>0</c:v>
                </c:pt>
                <c:pt idx="46">
                  <c:v>0</c:v>
                </c:pt>
                <c:pt idx="47">
                  <c:v>1</c:v>
                </c:pt>
                <c:pt idx="48">
                  <c:v>0</c:v>
                </c:pt>
                <c:pt idx="49">
                  <c:v>0</c:v>
                </c:pt>
                <c:pt idx="50">
                  <c:v>0</c:v>
                </c:pt>
                <c:pt idx="51">
                  <c:v>0</c:v>
                </c:pt>
                <c:pt idx="52">
                  <c:v>0</c:v>
                </c:pt>
                <c:pt idx="53">
                  <c:v>1</c:v>
                </c:pt>
                <c:pt idx="54">
                  <c:v>0</c:v>
                </c:pt>
                <c:pt idx="55">
                  <c:v>0</c:v>
                </c:pt>
                <c:pt idx="56">
                  <c:v>0</c:v>
                </c:pt>
                <c:pt idx="57">
                  <c:v>0</c:v>
                </c:pt>
                <c:pt idx="58">
                  <c:v>0</c:v>
                </c:pt>
                <c:pt idx="59">
                  <c:v>1</c:v>
                </c:pt>
                <c:pt idx="60">
                  <c:v>0</c:v>
                </c:pt>
                <c:pt idx="61">
                  <c:v>0</c:v>
                </c:pt>
                <c:pt idx="62">
                  <c:v>0</c:v>
                </c:pt>
                <c:pt idx="63">
                  <c:v>0</c:v>
                </c:pt>
                <c:pt idx="64">
                  <c:v>0</c:v>
                </c:pt>
                <c:pt idx="65">
                  <c:v>1</c:v>
                </c:pt>
              </c:numCache>
            </c:numRef>
          </c:val>
          <c:extLst>
            <c:ext xmlns:c16="http://schemas.microsoft.com/office/drawing/2014/chart" uri="{C3380CC4-5D6E-409C-BE32-E72D297353CC}">
              <c16:uniqueId val="{00000084-CB10-462C-99EE-46A5C31E1F05}"/>
            </c:ext>
          </c:extLst>
        </c:ser>
        <c:dLbls>
          <c:showLegendKey val="0"/>
          <c:showVal val="0"/>
          <c:showCatName val="0"/>
          <c:showSerName val="0"/>
          <c:showPercent val="0"/>
          <c:showBubbleSize val="0"/>
          <c:showLeaderLines val="1"/>
        </c:dLbls>
        <c:firstSliceAng val="0"/>
        <c:holeSize val="48"/>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19"/>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BED-4C73-AEFD-D165DBCFEDD2}"/>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9BED-4C73-AEFD-D165DBCFEDD2}"/>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9BED-4C73-AEFD-D165DBCFEDD2}"/>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9BED-4C73-AEFD-D165DBCFEDD2}"/>
              </c:ext>
            </c:extLst>
          </c:dPt>
          <c:dPt>
            <c:idx val="4"/>
            <c:bubble3D val="0"/>
            <c:spPr>
              <a:solidFill>
                <a:srgbClr val="E12809"/>
              </a:solidFill>
              <a:ln w="19050">
                <a:solidFill>
                  <a:schemeClr val="lt1"/>
                </a:solidFill>
              </a:ln>
              <a:effectLst/>
            </c:spPr>
            <c:extLst>
              <c:ext xmlns:c16="http://schemas.microsoft.com/office/drawing/2014/chart" uri="{C3380CC4-5D6E-409C-BE32-E72D297353CC}">
                <c16:uniqueId val="{00000009-9BED-4C73-AEFD-D165DBCFEDD2}"/>
              </c:ext>
            </c:extLst>
          </c:dPt>
          <c:dPt>
            <c:idx val="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0B-9BED-4C73-AEFD-D165DBCFEDD2}"/>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0D-9BED-4C73-AEFD-D165DBCFEDD2}"/>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9BED-4C73-AEFD-D165DBCFEDD2}"/>
              </c:ext>
            </c:extLst>
          </c:dPt>
          <c:dPt>
            <c:idx val="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1-9BED-4C73-AEFD-D165DBCFEDD2}"/>
              </c:ext>
            </c:extLst>
          </c:dPt>
          <c:dPt>
            <c:idx val="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3-9BED-4C73-AEFD-D165DBCFEDD2}"/>
              </c:ext>
            </c:extLst>
          </c:dPt>
          <c:dPt>
            <c:idx val="10"/>
            <c:bubble3D val="0"/>
            <c:spPr>
              <a:solidFill>
                <a:srgbClr val="E12809"/>
              </a:solidFill>
              <a:ln w="19050">
                <a:solidFill>
                  <a:schemeClr val="lt1"/>
                </a:solidFill>
              </a:ln>
              <a:effectLst/>
            </c:spPr>
            <c:extLst>
              <c:ext xmlns:c16="http://schemas.microsoft.com/office/drawing/2014/chart" uri="{C3380CC4-5D6E-409C-BE32-E72D297353CC}">
                <c16:uniqueId val="{00000015-9BED-4C73-AEFD-D165DBCFEDD2}"/>
              </c:ext>
            </c:extLst>
          </c:dPt>
          <c:dPt>
            <c:idx val="1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17-9BED-4C73-AEFD-D165DBCFEDD2}"/>
              </c:ext>
            </c:extLst>
          </c:dPt>
          <c:dPt>
            <c:idx val="12"/>
            <c:bubble3D val="0"/>
            <c:spPr>
              <a:solidFill>
                <a:schemeClr val="accent6"/>
              </a:solidFill>
              <a:ln w="19050">
                <a:solidFill>
                  <a:schemeClr val="lt1"/>
                </a:solidFill>
              </a:ln>
              <a:effectLst/>
            </c:spPr>
            <c:extLst>
              <c:ext xmlns:c16="http://schemas.microsoft.com/office/drawing/2014/chart" uri="{C3380CC4-5D6E-409C-BE32-E72D297353CC}">
                <c16:uniqueId val="{00000019-9BED-4C73-AEFD-D165DBCFEDD2}"/>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9BED-4C73-AEFD-D165DBCFEDD2}"/>
              </c:ext>
            </c:extLst>
          </c:dPt>
          <c:dPt>
            <c:idx val="1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D-9BED-4C73-AEFD-D165DBCFEDD2}"/>
              </c:ext>
            </c:extLst>
          </c:dPt>
          <c:dPt>
            <c:idx val="1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F-9BED-4C73-AEFD-D165DBCFEDD2}"/>
              </c:ext>
            </c:extLst>
          </c:dPt>
          <c:dPt>
            <c:idx val="16"/>
            <c:bubble3D val="0"/>
            <c:spPr>
              <a:solidFill>
                <a:srgbClr val="E12809"/>
              </a:solidFill>
              <a:ln w="19050">
                <a:solidFill>
                  <a:schemeClr val="lt1"/>
                </a:solidFill>
              </a:ln>
              <a:effectLst/>
            </c:spPr>
            <c:extLst>
              <c:ext xmlns:c16="http://schemas.microsoft.com/office/drawing/2014/chart" uri="{C3380CC4-5D6E-409C-BE32-E72D297353CC}">
                <c16:uniqueId val="{00000021-9BED-4C73-AEFD-D165DBCFEDD2}"/>
              </c:ext>
            </c:extLst>
          </c:dPt>
          <c:dPt>
            <c:idx val="1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3-9BED-4C73-AEFD-D165DBCFEDD2}"/>
              </c:ext>
            </c:extLst>
          </c:dPt>
          <c:dPt>
            <c:idx val="18"/>
            <c:bubble3D val="0"/>
            <c:spPr>
              <a:solidFill>
                <a:schemeClr val="accent6"/>
              </a:solidFill>
              <a:ln w="19050">
                <a:solidFill>
                  <a:schemeClr val="lt1"/>
                </a:solidFill>
              </a:ln>
              <a:effectLst/>
            </c:spPr>
            <c:extLst>
              <c:ext xmlns:c16="http://schemas.microsoft.com/office/drawing/2014/chart" uri="{C3380CC4-5D6E-409C-BE32-E72D297353CC}">
                <c16:uniqueId val="{00000025-9BED-4C73-AEFD-D165DBCFEDD2}"/>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9BED-4C73-AEFD-D165DBCFEDD2}"/>
              </c:ext>
            </c:extLst>
          </c:dPt>
          <c:dPt>
            <c:idx val="2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29-9BED-4C73-AEFD-D165DBCFEDD2}"/>
              </c:ext>
            </c:extLst>
          </c:dPt>
          <c:dPt>
            <c:idx val="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2B-9BED-4C73-AEFD-D165DBCFEDD2}"/>
              </c:ext>
            </c:extLst>
          </c:dPt>
          <c:dPt>
            <c:idx val="22"/>
            <c:bubble3D val="0"/>
            <c:spPr>
              <a:solidFill>
                <a:srgbClr val="E12809"/>
              </a:solidFill>
              <a:ln w="19050">
                <a:solidFill>
                  <a:schemeClr val="lt1"/>
                </a:solidFill>
              </a:ln>
              <a:effectLst/>
            </c:spPr>
            <c:extLst>
              <c:ext xmlns:c16="http://schemas.microsoft.com/office/drawing/2014/chart" uri="{C3380CC4-5D6E-409C-BE32-E72D297353CC}">
                <c16:uniqueId val="{0000002D-9BED-4C73-AEFD-D165DBCFEDD2}"/>
              </c:ext>
            </c:extLst>
          </c:dPt>
          <c:dPt>
            <c:idx val="2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F-9BED-4C73-AEFD-D165DBCFEDD2}"/>
              </c:ext>
            </c:extLst>
          </c:dPt>
          <c:dPt>
            <c:idx val="24"/>
            <c:bubble3D val="0"/>
            <c:spPr>
              <a:solidFill>
                <a:schemeClr val="accent6"/>
              </a:solidFill>
              <a:ln w="19050">
                <a:solidFill>
                  <a:schemeClr val="lt1"/>
                </a:solidFill>
              </a:ln>
              <a:effectLst/>
            </c:spPr>
            <c:extLst>
              <c:ext xmlns:c16="http://schemas.microsoft.com/office/drawing/2014/chart" uri="{C3380CC4-5D6E-409C-BE32-E72D297353CC}">
                <c16:uniqueId val="{00000031-9BED-4C73-AEFD-D165DBCFEDD2}"/>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9BED-4C73-AEFD-D165DBCFEDD2}"/>
              </c:ext>
            </c:extLst>
          </c:dPt>
          <c:dPt>
            <c:idx val="2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35-9BED-4C73-AEFD-D165DBCFEDD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9BED-4C73-AEFD-D165DBCFEDD2}"/>
              </c:ext>
            </c:extLst>
          </c:dPt>
          <c:dPt>
            <c:idx val="28"/>
            <c:bubble3D val="0"/>
            <c:spPr>
              <a:solidFill>
                <a:srgbClr val="E12809"/>
              </a:solidFill>
              <a:ln w="19050">
                <a:solidFill>
                  <a:schemeClr val="lt1"/>
                </a:solidFill>
              </a:ln>
              <a:effectLst/>
            </c:spPr>
            <c:extLst>
              <c:ext xmlns:c16="http://schemas.microsoft.com/office/drawing/2014/chart" uri="{C3380CC4-5D6E-409C-BE32-E72D297353CC}">
                <c16:uniqueId val="{00000039-9BED-4C73-AEFD-D165DBCFEDD2}"/>
              </c:ext>
            </c:extLst>
          </c:dPt>
          <c:dPt>
            <c:idx val="2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3B-9BED-4C73-AEFD-D165DBCFEDD2}"/>
              </c:ext>
            </c:extLst>
          </c:dPt>
          <c:dPt>
            <c:idx val="30"/>
            <c:bubble3D val="0"/>
            <c:spPr>
              <a:solidFill>
                <a:schemeClr val="accent6"/>
              </a:solidFill>
              <a:ln w="19050">
                <a:solidFill>
                  <a:schemeClr val="lt1"/>
                </a:solidFill>
              </a:ln>
              <a:effectLst/>
            </c:spPr>
            <c:extLst>
              <c:ext xmlns:c16="http://schemas.microsoft.com/office/drawing/2014/chart" uri="{C3380CC4-5D6E-409C-BE32-E72D297353CC}">
                <c16:uniqueId val="{0000003D-9BED-4C73-AEFD-D165DBCFEDD2}"/>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9BED-4C73-AEFD-D165DBCFEDD2}"/>
              </c:ext>
            </c:extLst>
          </c:dPt>
          <c:dPt>
            <c:idx val="3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1-9BED-4C73-AEFD-D165DBCFEDD2}"/>
              </c:ext>
            </c:extLst>
          </c:dPt>
          <c:dPt>
            <c:idx val="3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3-9BED-4C73-AEFD-D165DBCFEDD2}"/>
              </c:ext>
            </c:extLst>
          </c:dPt>
          <c:dPt>
            <c:idx val="34"/>
            <c:bubble3D val="0"/>
            <c:spPr>
              <a:solidFill>
                <a:srgbClr val="E12809"/>
              </a:solidFill>
              <a:ln w="19050">
                <a:solidFill>
                  <a:schemeClr val="lt1"/>
                </a:solidFill>
              </a:ln>
              <a:effectLst/>
            </c:spPr>
            <c:extLst>
              <c:ext xmlns:c16="http://schemas.microsoft.com/office/drawing/2014/chart" uri="{C3380CC4-5D6E-409C-BE32-E72D297353CC}">
                <c16:uniqueId val="{00000045-9BED-4C73-AEFD-D165DBCFEDD2}"/>
              </c:ext>
            </c:extLst>
          </c:dPt>
          <c:dPt>
            <c:idx val="3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47-9BED-4C73-AEFD-D165DBCFEDD2}"/>
              </c:ext>
            </c:extLst>
          </c:dPt>
          <c:dPt>
            <c:idx val="36"/>
            <c:bubble3D val="0"/>
            <c:spPr>
              <a:solidFill>
                <a:schemeClr val="accent6"/>
              </a:solidFill>
              <a:ln w="19050">
                <a:solidFill>
                  <a:schemeClr val="lt1"/>
                </a:solidFill>
              </a:ln>
              <a:effectLst/>
            </c:spPr>
            <c:extLst>
              <c:ext xmlns:c16="http://schemas.microsoft.com/office/drawing/2014/chart" uri="{C3380CC4-5D6E-409C-BE32-E72D297353CC}">
                <c16:uniqueId val="{00000049-9BED-4C73-AEFD-D165DBCFEDD2}"/>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9BED-4C73-AEFD-D165DBCFEDD2}"/>
              </c:ext>
            </c:extLst>
          </c:dPt>
          <c:dPt>
            <c:idx val="3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D-9BED-4C73-AEFD-D165DBCFEDD2}"/>
              </c:ext>
            </c:extLst>
          </c:dPt>
          <c:dPt>
            <c:idx val="3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F-9BED-4C73-AEFD-D165DBCFEDD2}"/>
              </c:ext>
            </c:extLst>
          </c:dPt>
          <c:dPt>
            <c:idx val="40"/>
            <c:bubble3D val="0"/>
            <c:spPr>
              <a:solidFill>
                <a:srgbClr val="E12809"/>
              </a:solidFill>
              <a:ln w="19050">
                <a:solidFill>
                  <a:schemeClr val="lt1"/>
                </a:solidFill>
              </a:ln>
              <a:effectLst/>
            </c:spPr>
            <c:extLst>
              <c:ext xmlns:c16="http://schemas.microsoft.com/office/drawing/2014/chart" uri="{C3380CC4-5D6E-409C-BE32-E72D297353CC}">
                <c16:uniqueId val="{00000051-9BED-4C73-AEFD-D165DBCFEDD2}"/>
              </c:ext>
            </c:extLst>
          </c:dPt>
          <c:dPt>
            <c:idx val="4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3-9BED-4C73-AEFD-D165DBCFEDD2}"/>
              </c:ext>
            </c:extLst>
          </c:dPt>
          <c:dPt>
            <c:idx val="42"/>
            <c:bubble3D val="0"/>
            <c:spPr>
              <a:solidFill>
                <a:schemeClr val="accent6"/>
              </a:solidFill>
              <a:ln w="19050">
                <a:solidFill>
                  <a:schemeClr val="lt1"/>
                </a:solidFill>
              </a:ln>
              <a:effectLst/>
            </c:spPr>
            <c:extLst>
              <c:ext xmlns:c16="http://schemas.microsoft.com/office/drawing/2014/chart" uri="{C3380CC4-5D6E-409C-BE32-E72D297353CC}">
                <c16:uniqueId val="{00000055-9BED-4C73-AEFD-D165DBCFEDD2}"/>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9BED-4C73-AEFD-D165DBCFEDD2}"/>
              </c:ext>
            </c:extLst>
          </c:dPt>
          <c:dPt>
            <c:idx val="4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59-9BED-4C73-AEFD-D165DBCFEDD2}"/>
              </c:ext>
            </c:extLst>
          </c:dPt>
          <c:dPt>
            <c:idx val="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5B-9BED-4C73-AEFD-D165DBCFEDD2}"/>
              </c:ext>
            </c:extLst>
          </c:dPt>
          <c:dPt>
            <c:idx val="46"/>
            <c:bubble3D val="0"/>
            <c:spPr>
              <a:solidFill>
                <a:srgbClr val="E12809"/>
              </a:solidFill>
              <a:ln w="19050">
                <a:solidFill>
                  <a:schemeClr val="lt1"/>
                </a:solidFill>
              </a:ln>
              <a:effectLst/>
            </c:spPr>
            <c:extLst>
              <c:ext xmlns:c16="http://schemas.microsoft.com/office/drawing/2014/chart" uri="{C3380CC4-5D6E-409C-BE32-E72D297353CC}">
                <c16:uniqueId val="{0000005D-9BED-4C73-AEFD-D165DBCFEDD2}"/>
              </c:ext>
            </c:extLst>
          </c:dPt>
          <c:dPt>
            <c:idx val="4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F-9BED-4C73-AEFD-D165DBCFEDD2}"/>
              </c:ext>
            </c:extLst>
          </c:dPt>
          <c:dPt>
            <c:idx val="48"/>
            <c:bubble3D val="0"/>
            <c:spPr>
              <a:solidFill>
                <a:schemeClr val="accent6"/>
              </a:solidFill>
              <a:ln w="19050">
                <a:solidFill>
                  <a:schemeClr val="lt1"/>
                </a:solidFill>
              </a:ln>
              <a:effectLst/>
            </c:spPr>
            <c:extLst>
              <c:ext xmlns:c16="http://schemas.microsoft.com/office/drawing/2014/chart" uri="{C3380CC4-5D6E-409C-BE32-E72D297353CC}">
                <c16:uniqueId val="{00000061-9BED-4C73-AEFD-D165DBCFEDD2}"/>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9BED-4C73-AEFD-D165DBCFEDD2}"/>
              </c:ext>
            </c:extLst>
          </c:dPt>
          <c:dPt>
            <c:idx val="5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65-9BED-4C73-AEFD-D165DBCFEDD2}"/>
              </c:ext>
            </c:extLst>
          </c:dPt>
          <c:dPt>
            <c:idx val="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67-9BED-4C73-AEFD-D165DBCFEDD2}"/>
              </c:ext>
            </c:extLst>
          </c:dPt>
          <c:dPt>
            <c:idx val="52"/>
            <c:bubble3D val="0"/>
            <c:spPr>
              <a:solidFill>
                <a:srgbClr val="E12809"/>
              </a:solidFill>
              <a:ln w="19050">
                <a:solidFill>
                  <a:schemeClr val="lt1"/>
                </a:solidFill>
              </a:ln>
              <a:effectLst/>
            </c:spPr>
            <c:extLst>
              <c:ext xmlns:c16="http://schemas.microsoft.com/office/drawing/2014/chart" uri="{C3380CC4-5D6E-409C-BE32-E72D297353CC}">
                <c16:uniqueId val="{00000069-9BED-4C73-AEFD-D165DBCFEDD2}"/>
              </c:ext>
            </c:extLst>
          </c:dPt>
          <c:dPt>
            <c:idx val="5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6B-9BED-4C73-AEFD-D165DBCFEDD2}"/>
              </c:ext>
            </c:extLst>
          </c:dPt>
          <c:dPt>
            <c:idx val="54"/>
            <c:bubble3D val="0"/>
            <c:spPr>
              <a:solidFill>
                <a:schemeClr val="accent6"/>
              </a:solidFill>
              <a:ln w="19050">
                <a:solidFill>
                  <a:schemeClr val="lt1"/>
                </a:solidFill>
              </a:ln>
              <a:effectLst/>
            </c:spPr>
            <c:extLst>
              <c:ext xmlns:c16="http://schemas.microsoft.com/office/drawing/2014/chart" uri="{C3380CC4-5D6E-409C-BE32-E72D297353CC}">
                <c16:uniqueId val="{0000006D-9BED-4C73-AEFD-D165DBCFEDD2}"/>
              </c:ext>
            </c:extLst>
          </c:dPt>
          <c:dPt>
            <c:idx val="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F-9BED-4C73-AEFD-D165DBCFEDD2}"/>
              </c:ext>
            </c:extLst>
          </c:dPt>
          <c:dPt>
            <c:idx val="5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71-9BED-4C73-AEFD-D165DBCFEDD2}"/>
              </c:ext>
            </c:extLst>
          </c:dPt>
          <c:dPt>
            <c:idx val="5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3-9BED-4C73-AEFD-D165DBCFEDD2}"/>
              </c:ext>
            </c:extLst>
          </c:dPt>
          <c:dPt>
            <c:idx val="58"/>
            <c:bubble3D val="0"/>
            <c:spPr>
              <a:solidFill>
                <a:srgbClr val="E12809"/>
              </a:solidFill>
              <a:ln w="19050">
                <a:solidFill>
                  <a:schemeClr val="lt1"/>
                </a:solidFill>
              </a:ln>
              <a:effectLst/>
            </c:spPr>
            <c:extLst>
              <c:ext xmlns:c16="http://schemas.microsoft.com/office/drawing/2014/chart" uri="{C3380CC4-5D6E-409C-BE32-E72D297353CC}">
                <c16:uniqueId val="{00000075-9BED-4C73-AEFD-D165DBCFEDD2}"/>
              </c:ext>
            </c:extLst>
          </c:dPt>
          <c:dPt>
            <c:idx val="5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77-9BED-4C73-AEFD-D165DBCFEDD2}"/>
              </c:ext>
            </c:extLst>
          </c:dPt>
          <c:val>
            <c:numRef>
              <c:f>'Env Wheel'!$B$2:$B$61</c:f>
              <c:numCache>
                <c:formatCode>General</c:formatCode>
                <c:ptCount val="6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0</c:v>
                </c:pt>
                <c:pt idx="16">
                  <c:v>0</c:v>
                </c:pt>
                <c:pt idx="17">
                  <c:v>1</c:v>
                </c:pt>
                <c:pt idx="18">
                  <c:v>0</c:v>
                </c:pt>
                <c:pt idx="19">
                  <c:v>0</c:v>
                </c:pt>
                <c:pt idx="20">
                  <c:v>0</c:v>
                </c:pt>
                <c:pt idx="21">
                  <c:v>0</c:v>
                </c:pt>
                <c:pt idx="22">
                  <c:v>0</c:v>
                </c:pt>
                <c:pt idx="23">
                  <c:v>1</c:v>
                </c:pt>
                <c:pt idx="24">
                  <c:v>0</c:v>
                </c:pt>
                <c:pt idx="25">
                  <c:v>0</c:v>
                </c:pt>
                <c:pt idx="26">
                  <c:v>0</c:v>
                </c:pt>
                <c:pt idx="27">
                  <c:v>0</c:v>
                </c:pt>
                <c:pt idx="28">
                  <c:v>0</c:v>
                </c:pt>
                <c:pt idx="29">
                  <c:v>1</c:v>
                </c:pt>
                <c:pt idx="30">
                  <c:v>0</c:v>
                </c:pt>
                <c:pt idx="31">
                  <c:v>0</c:v>
                </c:pt>
                <c:pt idx="32">
                  <c:v>0</c:v>
                </c:pt>
                <c:pt idx="33">
                  <c:v>0</c:v>
                </c:pt>
                <c:pt idx="34">
                  <c:v>0</c:v>
                </c:pt>
                <c:pt idx="35">
                  <c:v>1</c:v>
                </c:pt>
                <c:pt idx="36">
                  <c:v>0</c:v>
                </c:pt>
                <c:pt idx="37">
                  <c:v>0</c:v>
                </c:pt>
                <c:pt idx="38">
                  <c:v>0</c:v>
                </c:pt>
                <c:pt idx="39">
                  <c:v>0</c:v>
                </c:pt>
                <c:pt idx="40">
                  <c:v>0</c:v>
                </c:pt>
                <c:pt idx="41">
                  <c:v>1</c:v>
                </c:pt>
                <c:pt idx="42">
                  <c:v>0</c:v>
                </c:pt>
                <c:pt idx="43">
                  <c:v>0</c:v>
                </c:pt>
                <c:pt idx="44">
                  <c:v>0</c:v>
                </c:pt>
                <c:pt idx="45">
                  <c:v>0</c:v>
                </c:pt>
                <c:pt idx="46">
                  <c:v>0</c:v>
                </c:pt>
                <c:pt idx="47">
                  <c:v>1</c:v>
                </c:pt>
                <c:pt idx="48">
                  <c:v>0</c:v>
                </c:pt>
                <c:pt idx="49">
                  <c:v>0</c:v>
                </c:pt>
                <c:pt idx="50">
                  <c:v>0</c:v>
                </c:pt>
                <c:pt idx="51">
                  <c:v>0</c:v>
                </c:pt>
                <c:pt idx="52">
                  <c:v>0</c:v>
                </c:pt>
                <c:pt idx="53">
                  <c:v>1</c:v>
                </c:pt>
                <c:pt idx="54">
                  <c:v>0</c:v>
                </c:pt>
                <c:pt idx="55">
                  <c:v>0</c:v>
                </c:pt>
                <c:pt idx="56">
                  <c:v>0</c:v>
                </c:pt>
                <c:pt idx="57">
                  <c:v>0</c:v>
                </c:pt>
                <c:pt idx="58">
                  <c:v>0</c:v>
                </c:pt>
                <c:pt idx="59">
                  <c:v>1</c:v>
                </c:pt>
              </c:numCache>
            </c:numRef>
          </c:val>
          <c:extLst>
            <c:ext xmlns:c16="http://schemas.microsoft.com/office/drawing/2014/chart" uri="{C3380CC4-5D6E-409C-BE32-E72D297353CC}">
              <c16:uniqueId val="{00000078-9BED-4C73-AEFD-D165DBCFEDD2}"/>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14"/>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872-49AC-8869-0BCB365DDF0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A872-49AC-8869-0BCB365DDF09}"/>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A872-49AC-8869-0BCB365DDF09}"/>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A872-49AC-8869-0BCB365DDF09}"/>
              </c:ext>
            </c:extLst>
          </c:dPt>
          <c:dPt>
            <c:idx val="4"/>
            <c:bubble3D val="0"/>
            <c:spPr>
              <a:solidFill>
                <a:srgbClr val="E12809"/>
              </a:solidFill>
              <a:ln w="19050">
                <a:solidFill>
                  <a:schemeClr val="lt1"/>
                </a:solidFill>
              </a:ln>
              <a:effectLst/>
            </c:spPr>
            <c:extLst>
              <c:ext xmlns:c16="http://schemas.microsoft.com/office/drawing/2014/chart" uri="{C3380CC4-5D6E-409C-BE32-E72D297353CC}">
                <c16:uniqueId val="{00000009-A872-49AC-8869-0BCB365DDF09}"/>
              </c:ext>
            </c:extLst>
          </c:dPt>
          <c:dPt>
            <c:idx val="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0B-A872-49AC-8869-0BCB365DDF09}"/>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0D-A872-49AC-8869-0BCB365DDF0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A872-49AC-8869-0BCB365DDF09}"/>
              </c:ext>
            </c:extLst>
          </c:dPt>
          <c:dPt>
            <c:idx val="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1-A872-49AC-8869-0BCB365DDF09}"/>
              </c:ext>
            </c:extLst>
          </c:dPt>
          <c:dPt>
            <c:idx val="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3-A872-49AC-8869-0BCB365DDF09}"/>
              </c:ext>
            </c:extLst>
          </c:dPt>
          <c:dPt>
            <c:idx val="10"/>
            <c:bubble3D val="0"/>
            <c:spPr>
              <a:solidFill>
                <a:srgbClr val="E12809"/>
              </a:solidFill>
              <a:ln w="19050">
                <a:solidFill>
                  <a:schemeClr val="lt1"/>
                </a:solidFill>
              </a:ln>
              <a:effectLst/>
            </c:spPr>
            <c:extLst>
              <c:ext xmlns:c16="http://schemas.microsoft.com/office/drawing/2014/chart" uri="{C3380CC4-5D6E-409C-BE32-E72D297353CC}">
                <c16:uniqueId val="{00000015-A872-49AC-8869-0BCB365DDF09}"/>
              </c:ext>
            </c:extLst>
          </c:dPt>
          <c:dPt>
            <c:idx val="1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17-A872-49AC-8869-0BCB365DDF09}"/>
              </c:ext>
            </c:extLst>
          </c:dPt>
          <c:dPt>
            <c:idx val="12"/>
            <c:bubble3D val="0"/>
            <c:spPr>
              <a:solidFill>
                <a:schemeClr val="accent6"/>
              </a:solidFill>
              <a:ln w="19050">
                <a:solidFill>
                  <a:schemeClr val="lt1"/>
                </a:solidFill>
              </a:ln>
              <a:effectLst/>
            </c:spPr>
            <c:extLst>
              <c:ext xmlns:c16="http://schemas.microsoft.com/office/drawing/2014/chart" uri="{C3380CC4-5D6E-409C-BE32-E72D297353CC}">
                <c16:uniqueId val="{00000019-A872-49AC-8869-0BCB365DDF0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A872-49AC-8869-0BCB365DDF09}"/>
              </c:ext>
            </c:extLst>
          </c:dPt>
          <c:dPt>
            <c:idx val="1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D-A872-49AC-8869-0BCB365DDF09}"/>
              </c:ext>
            </c:extLst>
          </c:dPt>
          <c:dPt>
            <c:idx val="1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F-A872-49AC-8869-0BCB365DDF09}"/>
              </c:ext>
            </c:extLst>
          </c:dPt>
          <c:dPt>
            <c:idx val="16"/>
            <c:bubble3D val="0"/>
            <c:spPr>
              <a:solidFill>
                <a:srgbClr val="E12809"/>
              </a:solidFill>
              <a:ln w="19050">
                <a:solidFill>
                  <a:schemeClr val="lt1"/>
                </a:solidFill>
              </a:ln>
              <a:effectLst/>
            </c:spPr>
            <c:extLst>
              <c:ext xmlns:c16="http://schemas.microsoft.com/office/drawing/2014/chart" uri="{C3380CC4-5D6E-409C-BE32-E72D297353CC}">
                <c16:uniqueId val="{00000021-A872-49AC-8869-0BCB365DDF09}"/>
              </c:ext>
            </c:extLst>
          </c:dPt>
          <c:dPt>
            <c:idx val="1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3-A872-49AC-8869-0BCB365DDF09}"/>
              </c:ext>
            </c:extLst>
          </c:dPt>
          <c:dPt>
            <c:idx val="18"/>
            <c:bubble3D val="0"/>
            <c:spPr>
              <a:solidFill>
                <a:schemeClr val="accent6"/>
              </a:solidFill>
              <a:ln w="19050">
                <a:solidFill>
                  <a:schemeClr val="lt1"/>
                </a:solidFill>
              </a:ln>
              <a:effectLst/>
            </c:spPr>
            <c:extLst>
              <c:ext xmlns:c16="http://schemas.microsoft.com/office/drawing/2014/chart" uri="{C3380CC4-5D6E-409C-BE32-E72D297353CC}">
                <c16:uniqueId val="{00000025-A872-49AC-8869-0BCB365DDF0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A872-49AC-8869-0BCB365DDF09}"/>
              </c:ext>
            </c:extLst>
          </c:dPt>
          <c:dPt>
            <c:idx val="2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29-A872-49AC-8869-0BCB365DDF09}"/>
              </c:ext>
            </c:extLst>
          </c:dPt>
          <c:dPt>
            <c:idx val="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2B-A872-49AC-8869-0BCB365DDF09}"/>
              </c:ext>
            </c:extLst>
          </c:dPt>
          <c:dPt>
            <c:idx val="22"/>
            <c:bubble3D val="0"/>
            <c:spPr>
              <a:solidFill>
                <a:srgbClr val="E12809"/>
              </a:solidFill>
              <a:ln w="19050">
                <a:solidFill>
                  <a:schemeClr val="lt1"/>
                </a:solidFill>
              </a:ln>
              <a:effectLst/>
            </c:spPr>
            <c:extLst>
              <c:ext xmlns:c16="http://schemas.microsoft.com/office/drawing/2014/chart" uri="{C3380CC4-5D6E-409C-BE32-E72D297353CC}">
                <c16:uniqueId val="{0000002D-A872-49AC-8869-0BCB365DDF09}"/>
              </c:ext>
            </c:extLst>
          </c:dPt>
          <c:dPt>
            <c:idx val="2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2F-A872-49AC-8869-0BCB365DDF09}"/>
              </c:ext>
            </c:extLst>
          </c:dPt>
          <c:dPt>
            <c:idx val="24"/>
            <c:bubble3D val="0"/>
            <c:spPr>
              <a:solidFill>
                <a:schemeClr val="accent6"/>
              </a:solidFill>
              <a:ln w="19050">
                <a:solidFill>
                  <a:schemeClr val="lt1"/>
                </a:solidFill>
              </a:ln>
              <a:effectLst/>
            </c:spPr>
            <c:extLst>
              <c:ext xmlns:c16="http://schemas.microsoft.com/office/drawing/2014/chart" uri="{C3380CC4-5D6E-409C-BE32-E72D297353CC}">
                <c16:uniqueId val="{00000031-A872-49AC-8869-0BCB365DDF0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A872-49AC-8869-0BCB365DDF09}"/>
              </c:ext>
            </c:extLst>
          </c:dPt>
          <c:dPt>
            <c:idx val="2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35-A872-49AC-8869-0BCB365DDF09}"/>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A872-49AC-8869-0BCB365DDF09}"/>
              </c:ext>
            </c:extLst>
          </c:dPt>
          <c:dPt>
            <c:idx val="28"/>
            <c:bubble3D val="0"/>
            <c:spPr>
              <a:solidFill>
                <a:srgbClr val="E12809"/>
              </a:solidFill>
              <a:ln w="19050">
                <a:solidFill>
                  <a:schemeClr val="lt1"/>
                </a:solidFill>
              </a:ln>
              <a:effectLst/>
            </c:spPr>
            <c:extLst>
              <c:ext xmlns:c16="http://schemas.microsoft.com/office/drawing/2014/chart" uri="{C3380CC4-5D6E-409C-BE32-E72D297353CC}">
                <c16:uniqueId val="{00000039-A872-49AC-8869-0BCB365DDF09}"/>
              </c:ext>
            </c:extLst>
          </c:dPt>
          <c:dPt>
            <c:idx val="2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3B-A872-49AC-8869-0BCB365DDF09}"/>
              </c:ext>
            </c:extLst>
          </c:dPt>
          <c:dPt>
            <c:idx val="30"/>
            <c:bubble3D val="0"/>
            <c:spPr>
              <a:solidFill>
                <a:schemeClr val="accent6"/>
              </a:solidFill>
              <a:ln w="19050">
                <a:solidFill>
                  <a:schemeClr val="lt1"/>
                </a:solidFill>
              </a:ln>
              <a:effectLst/>
            </c:spPr>
            <c:extLst>
              <c:ext xmlns:c16="http://schemas.microsoft.com/office/drawing/2014/chart" uri="{C3380CC4-5D6E-409C-BE32-E72D297353CC}">
                <c16:uniqueId val="{0000003D-A872-49AC-8869-0BCB365DDF0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A872-49AC-8869-0BCB365DDF09}"/>
              </c:ext>
            </c:extLst>
          </c:dPt>
          <c:dPt>
            <c:idx val="3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1-A872-49AC-8869-0BCB365DDF09}"/>
              </c:ext>
            </c:extLst>
          </c:dPt>
          <c:dPt>
            <c:idx val="3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3-A872-49AC-8869-0BCB365DDF09}"/>
              </c:ext>
            </c:extLst>
          </c:dPt>
          <c:dPt>
            <c:idx val="34"/>
            <c:bubble3D val="0"/>
            <c:spPr>
              <a:solidFill>
                <a:srgbClr val="E12809"/>
              </a:solidFill>
              <a:ln w="19050">
                <a:solidFill>
                  <a:schemeClr val="lt1"/>
                </a:solidFill>
              </a:ln>
              <a:effectLst/>
            </c:spPr>
            <c:extLst>
              <c:ext xmlns:c16="http://schemas.microsoft.com/office/drawing/2014/chart" uri="{C3380CC4-5D6E-409C-BE32-E72D297353CC}">
                <c16:uniqueId val="{00000045-A872-49AC-8869-0BCB365DDF09}"/>
              </c:ext>
            </c:extLst>
          </c:dPt>
          <c:dPt>
            <c:idx val="3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47-A872-49AC-8869-0BCB365DDF09}"/>
              </c:ext>
            </c:extLst>
          </c:dPt>
          <c:dPt>
            <c:idx val="36"/>
            <c:bubble3D val="0"/>
            <c:spPr>
              <a:solidFill>
                <a:schemeClr val="accent6"/>
              </a:solidFill>
              <a:ln w="19050">
                <a:solidFill>
                  <a:schemeClr val="lt1"/>
                </a:solidFill>
              </a:ln>
              <a:effectLst/>
            </c:spPr>
            <c:extLst>
              <c:ext xmlns:c16="http://schemas.microsoft.com/office/drawing/2014/chart" uri="{C3380CC4-5D6E-409C-BE32-E72D297353CC}">
                <c16:uniqueId val="{00000049-A872-49AC-8869-0BCB365DDF0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A872-49AC-8869-0BCB365DDF09}"/>
              </c:ext>
            </c:extLst>
          </c:dPt>
          <c:dPt>
            <c:idx val="3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4D-A872-49AC-8869-0BCB365DDF09}"/>
              </c:ext>
            </c:extLst>
          </c:dPt>
          <c:dPt>
            <c:idx val="3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F-A872-49AC-8869-0BCB365DDF09}"/>
              </c:ext>
            </c:extLst>
          </c:dPt>
          <c:dPt>
            <c:idx val="40"/>
            <c:bubble3D val="0"/>
            <c:spPr>
              <a:solidFill>
                <a:srgbClr val="E12809"/>
              </a:solidFill>
              <a:ln w="19050">
                <a:solidFill>
                  <a:schemeClr val="lt1"/>
                </a:solidFill>
              </a:ln>
              <a:effectLst/>
            </c:spPr>
            <c:extLst>
              <c:ext xmlns:c16="http://schemas.microsoft.com/office/drawing/2014/chart" uri="{C3380CC4-5D6E-409C-BE32-E72D297353CC}">
                <c16:uniqueId val="{00000051-A872-49AC-8869-0BCB365DDF09}"/>
              </c:ext>
            </c:extLst>
          </c:dPt>
          <c:dPt>
            <c:idx val="41"/>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3-A872-49AC-8869-0BCB365DDF09}"/>
              </c:ext>
            </c:extLst>
          </c:dPt>
          <c:dPt>
            <c:idx val="42"/>
            <c:bubble3D val="0"/>
            <c:spPr>
              <a:solidFill>
                <a:schemeClr val="accent6"/>
              </a:solidFill>
              <a:ln w="19050">
                <a:solidFill>
                  <a:schemeClr val="lt1"/>
                </a:solidFill>
              </a:ln>
              <a:effectLst/>
            </c:spPr>
            <c:extLst>
              <c:ext xmlns:c16="http://schemas.microsoft.com/office/drawing/2014/chart" uri="{C3380CC4-5D6E-409C-BE32-E72D297353CC}">
                <c16:uniqueId val="{00000055-A872-49AC-8869-0BCB365DDF0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A872-49AC-8869-0BCB365DDF09}"/>
              </c:ext>
            </c:extLst>
          </c:dPt>
          <c:dPt>
            <c:idx val="4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59-A872-49AC-8869-0BCB365DDF09}"/>
              </c:ext>
            </c:extLst>
          </c:dPt>
          <c:dPt>
            <c:idx val="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5B-A872-49AC-8869-0BCB365DDF09}"/>
              </c:ext>
            </c:extLst>
          </c:dPt>
          <c:dPt>
            <c:idx val="46"/>
            <c:bubble3D val="0"/>
            <c:spPr>
              <a:solidFill>
                <a:srgbClr val="E12809"/>
              </a:solidFill>
              <a:ln w="19050">
                <a:solidFill>
                  <a:schemeClr val="lt1"/>
                </a:solidFill>
              </a:ln>
              <a:effectLst/>
            </c:spPr>
            <c:extLst>
              <c:ext xmlns:c16="http://schemas.microsoft.com/office/drawing/2014/chart" uri="{C3380CC4-5D6E-409C-BE32-E72D297353CC}">
                <c16:uniqueId val="{0000005D-A872-49AC-8869-0BCB365DDF09}"/>
              </c:ext>
            </c:extLst>
          </c:dPt>
          <c:dPt>
            <c:idx val="47"/>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5F-A872-49AC-8869-0BCB365DDF09}"/>
              </c:ext>
            </c:extLst>
          </c:dPt>
          <c:dPt>
            <c:idx val="48"/>
            <c:bubble3D val="0"/>
            <c:spPr>
              <a:solidFill>
                <a:schemeClr val="accent6"/>
              </a:solidFill>
              <a:ln w="19050">
                <a:solidFill>
                  <a:schemeClr val="lt1"/>
                </a:solidFill>
              </a:ln>
              <a:effectLst/>
            </c:spPr>
            <c:extLst>
              <c:ext xmlns:c16="http://schemas.microsoft.com/office/drawing/2014/chart" uri="{C3380CC4-5D6E-409C-BE32-E72D297353CC}">
                <c16:uniqueId val="{00000061-A872-49AC-8869-0BCB365DDF0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A872-49AC-8869-0BCB365DDF09}"/>
              </c:ext>
            </c:extLst>
          </c:dPt>
          <c:dPt>
            <c:idx val="5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65-A872-49AC-8869-0BCB365DDF09}"/>
              </c:ext>
            </c:extLst>
          </c:dPt>
          <c:dPt>
            <c:idx val="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67-A872-49AC-8869-0BCB365DDF09}"/>
              </c:ext>
            </c:extLst>
          </c:dPt>
          <c:dPt>
            <c:idx val="52"/>
            <c:bubble3D val="0"/>
            <c:spPr>
              <a:solidFill>
                <a:srgbClr val="E12809"/>
              </a:solidFill>
              <a:ln w="19050">
                <a:solidFill>
                  <a:schemeClr val="lt1"/>
                </a:solidFill>
              </a:ln>
              <a:effectLst/>
            </c:spPr>
            <c:extLst>
              <c:ext xmlns:c16="http://schemas.microsoft.com/office/drawing/2014/chart" uri="{C3380CC4-5D6E-409C-BE32-E72D297353CC}">
                <c16:uniqueId val="{00000069-A872-49AC-8869-0BCB365DDF09}"/>
              </c:ext>
            </c:extLst>
          </c:dPt>
          <c:dPt>
            <c:idx val="53"/>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6B-A872-49AC-8869-0BCB365DDF09}"/>
              </c:ext>
            </c:extLst>
          </c:dPt>
          <c:dPt>
            <c:idx val="54"/>
            <c:bubble3D val="0"/>
            <c:spPr>
              <a:solidFill>
                <a:schemeClr val="accent6"/>
              </a:solidFill>
              <a:ln w="19050">
                <a:solidFill>
                  <a:schemeClr val="lt1"/>
                </a:solidFill>
              </a:ln>
              <a:effectLst/>
            </c:spPr>
            <c:extLst>
              <c:ext xmlns:c16="http://schemas.microsoft.com/office/drawing/2014/chart" uri="{C3380CC4-5D6E-409C-BE32-E72D297353CC}">
                <c16:uniqueId val="{0000006D-A872-49AC-8869-0BCB365DDF09}"/>
              </c:ext>
            </c:extLst>
          </c:dPt>
          <c:dPt>
            <c:idx val="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F-A872-49AC-8869-0BCB365DDF09}"/>
              </c:ext>
            </c:extLst>
          </c:dPt>
          <c:dPt>
            <c:idx val="5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71-A872-49AC-8869-0BCB365DDF09}"/>
              </c:ext>
            </c:extLst>
          </c:dPt>
          <c:dPt>
            <c:idx val="5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3-A872-49AC-8869-0BCB365DDF09}"/>
              </c:ext>
            </c:extLst>
          </c:dPt>
          <c:dPt>
            <c:idx val="58"/>
            <c:bubble3D val="0"/>
            <c:spPr>
              <a:solidFill>
                <a:srgbClr val="E12809"/>
              </a:solidFill>
              <a:ln w="19050">
                <a:solidFill>
                  <a:schemeClr val="lt1"/>
                </a:solidFill>
              </a:ln>
              <a:effectLst/>
            </c:spPr>
            <c:extLst>
              <c:ext xmlns:c16="http://schemas.microsoft.com/office/drawing/2014/chart" uri="{C3380CC4-5D6E-409C-BE32-E72D297353CC}">
                <c16:uniqueId val="{00000075-A872-49AC-8869-0BCB365DDF09}"/>
              </c:ext>
            </c:extLst>
          </c:dPt>
          <c:dPt>
            <c:idx val="59"/>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77-A872-49AC-8869-0BCB365DDF09}"/>
              </c:ext>
            </c:extLst>
          </c:dPt>
          <c:dPt>
            <c:idx val="60"/>
            <c:bubble3D val="0"/>
            <c:spPr>
              <a:solidFill>
                <a:schemeClr val="accent6"/>
              </a:solidFill>
              <a:ln w="19050">
                <a:solidFill>
                  <a:schemeClr val="lt1"/>
                </a:solidFill>
              </a:ln>
              <a:effectLst/>
            </c:spPr>
            <c:extLst>
              <c:ext xmlns:c16="http://schemas.microsoft.com/office/drawing/2014/chart" uri="{C3380CC4-5D6E-409C-BE32-E72D297353CC}">
                <c16:uniqueId val="{00000079-A872-49AC-8869-0BCB365DDF09}"/>
              </c:ext>
            </c:extLst>
          </c:dPt>
          <c:dPt>
            <c:idx val="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7B-A872-49AC-8869-0BCB365DDF09}"/>
              </c:ext>
            </c:extLst>
          </c:dPt>
          <c:dPt>
            <c:idx val="6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7D-A872-49AC-8869-0BCB365DDF09}"/>
              </c:ext>
            </c:extLst>
          </c:dPt>
          <c:dPt>
            <c:idx val="6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F-A872-49AC-8869-0BCB365DDF09}"/>
              </c:ext>
            </c:extLst>
          </c:dPt>
          <c:dPt>
            <c:idx val="64"/>
            <c:bubble3D val="0"/>
            <c:spPr>
              <a:solidFill>
                <a:srgbClr val="E12809"/>
              </a:solidFill>
              <a:ln w="19050">
                <a:solidFill>
                  <a:schemeClr val="lt1"/>
                </a:solidFill>
              </a:ln>
              <a:effectLst/>
            </c:spPr>
            <c:extLst>
              <c:ext xmlns:c16="http://schemas.microsoft.com/office/drawing/2014/chart" uri="{C3380CC4-5D6E-409C-BE32-E72D297353CC}">
                <c16:uniqueId val="{00000081-A872-49AC-8869-0BCB365DDF09}"/>
              </c:ext>
            </c:extLst>
          </c:dPt>
          <c:dPt>
            <c:idx val="65"/>
            <c:bubble3D val="0"/>
            <c:spPr>
              <a:solidFill>
                <a:schemeClr val="bg1"/>
              </a:solidFill>
              <a:ln w="12700">
                <a:solidFill>
                  <a:schemeClr val="bg2">
                    <a:lumMod val="25000"/>
                  </a:schemeClr>
                </a:solidFill>
              </a:ln>
              <a:effectLst/>
            </c:spPr>
            <c:extLst>
              <c:ext xmlns:c16="http://schemas.microsoft.com/office/drawing/2014/chart" uri="{C3380CC4-5D6E-409C-BE32-E72D297353CC}">
                <c16:uniqueId val="{00000083-A872-49AC-8869-0BCB365DDF09}"/>
              </c:ext>
            </c:extLst>
          </c:dPt>
          <c:val>
            <c:numRef>
              <c:f>'Social Wheel'!$B$2:$B$67</c:f>
              <c:numCache>
                <c:formatCode>General</c:formatCode>
                <c:ptCount val="66"/>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0</c:v>
                </c:pt>
                <c:pt idx="16">
                  <c:v>0</c:v>
                </c:pt>
                <c:pt idx="17">
                  <c:v>1</c:v>
                </c:pt>
                <c:pt idx="18">
                  <c:v>0</c:v>
                </c:pt>
                <c:pt idx="19">
                  <c:v>0</c:v>
                </c:pt>
                <c:pt idx="20">
                  <c:v>0</c:v>
                </c:pt>
                <c:pt idx="21">
                  <c:v>0</c:v>
                </c:pt>
                <c:pt idx="22">
                  <c:v>0</c:v>
                </c:pt>
                <c:pt idx="23">
                  <c:v>1</c:v>
                </c:pt>
                <c:pt idx="24">
                  <c:v>0</c:v>
                </c:pt>
                <c:pt idx="25">
                  <c:v>0</c:v>
                </c:pt>
                <c:pt idx="26">
                  <c:v>0</c:v>
                </c:pt>
                <c:pt idx="27">
                  <c:v>0</c:v>
                </c:pt>
                <c:pt idx="28">
                  <c:v>0</c:v>
                </c:pt>
                <c:pt idx="29">
                  <c:v>1</c:v>
                </c:pt>
                <c:pt idx="30">
                  <c:v>0</c:v>
                </c:pt>
                <c:pt idx="31">
                  <c:v>0</c:v>
                </c:pt>
                <c:pt idx="32">
                  <c:v>0</c:v>
                </c:pt>
                <c:pt idx="33">
                  <c:v>0</c:v>
                </c:pt>
                <c:pt idx="34">
                  <c:v>0</c:v>
                </c:pt>
                <c:pt idx="35">
                  <c:v>1</c:v>
                </c:pt>
                <c:pt idx="36">
                  <c:v>0</c:v>
                </c:pt>
                <c:pt idx="37">
                  <c:v>0</c:v>
                </c:pt>
                <c:pt idx="38">
                  <c:v>0</c:v>
                </c:pt>
                <c:pt idx="39">
                  <c:v>0</c:v>
                </c:pt>
                <c:pt idx="40">
                  <c:v>0</c:v>
                </c:pt>
                <c:pt idx="41">
                  <c:v>1</c:v>
                </c:pt>
                <c:pt idx="42">
                  <c:v>0</c:v>
                </c:pt>
                <c:pt idx="43">
                  <c:v>0</c:v>
                </c:pt>
                <c:pt idx="44">
                  <c:v>0</c:v>
                </c:pt>
                <c:pt idx="45">
                  <c:v>0</c:v>
                </c:pt>
                <c:pt idx="46">
                  <c:v>0</c:v>
                </c:pt>
                <c:pt idx="47">
                  <c:v>1</c:v>
                </c:pt>
                <c:pt idx="48">
                  <c:v>0</c:v>
                </c:pt>
                <c:pt idx="49">
                  <c:v>0</c:v>
                </c:pt>
                <c:pt idx="50">
                  <c:v>0</c:v>
                </c:pt>
                <c:pt idx="51">
                  <c:v>0</c:v>
                </c:pt>
                <c:pt idx="52">
                  <c:v>0</c:v>
                </c:pt>
                <c:pt idx="53">
                  <c:v>1</c:v>
                </c:pt>
                <c:pt idx="54">
                  <c:v>0</c:v>
                </c:pt>
                <c:pt idx="55">
                  <c:v>0</c:v>
                </c:pt>
                <c:pt idx="56">
                  <c:v>0</c:v>
                </c:pt>
                <c:pt idx="57">
                  <c:v>0</c:v>
                </c:pt>
                <c:pt idx="58">
                  <c:v>0</c:v>
                </c:pt>
                <c:pt idx="59">
                  <c:v>1</c:v>
                </c:pt>
                <c:pt idx="60">
                  <c:v>0</c:v>
                </c:pt>
                <c:pt idx="61">
                  <c:v>0</c:v>
                </c:pt>
                <c:pt idx="62">
                  <c:v>0</c:v>
                </c:pt>
                <c:pt idx="63">
                  <c:v>0</c:v>
                </c:pt>
                <c:pt idx="64">
                  <c:v>0</c:v>
                </c:pt>
                <c:pt idx="65">
                  <c:v>1</c:v>
                </c:pt>
              </c:numCache>
            </c:numRef>
          </c:val>
          <c:extLst>
            <c:ext xmlns:c16="http://schemas.microsoft.com/office/drawing/2014/chart" uri="{C3380CC4-5D6E-409C-BE32-E72D297353CC}">
              <c16:uniqueId val="{00000084-A872-49AC-8869-0BCB365DDF09}"/>
            </c:ext>
          </c:extLst>
        </c:ser>
        <c:dLbls>
          <c:showLegendKey val="0"/>
          <c:showVal val="0"/>
          <c:showCatName val="0"/>
          <c:showSerName val="0"/>
          <c:showPercent val="0"/>
          <c:showBubbleSize val="0"/>
          <c:showLeaderLines val="1"/>
        </c:dLbls>
        <c:firstSliceAng val="0"/>
        <c:holeSize val="48"/>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9</xdr:col>
      <xdr:colOff>100853</xdr:colOff>
      <xdr:row>2</xdr:row>
      <xdr:rowOff>313765</xdr:rowOff>
    </xdr:from>
    <xdr:to>
      <xdr:col>13</xdr:col>
      <xdr:colOff>107287</xdr:colOff>
      <xdr:row>2</xdr:row>
      <xdr:rowOff>780555</xdr:rowOff>
    </xdr:to>
    <xdr:pic>
      <xdr:nvPicPr>
        <xdr:cNvPr id="2" name="Picture 1"/>
        <xdr:cNvPicPr>
          <a:picLocks noChangeAspect="1"/>
        </xdr:cNvPicPr>
      </xdr:nvPicPr>
      <xdr:blipFill>
        <a:blip xmlns:r="http://schemas.openxmlformats.org/officeDocument/2006/relationships" r:embed="rId1"/>
        <a:stretch>
          <a:fillRect/>
        </a:stretch>
      </xdr:blipFill>
      <xdr:spPr>
        <a:xfrm>
          <a:off x="4045324" y="851647"/>
          <a:ext cx="1933845" cy="466790"/>
        </a:xfrm>
        <a:prstGeom prst="rect">
          <a:avLst/>
        </a:prstGeom>
      </xdr:spPr>
    </xdr:pic>
    <xdr:clientData/>
  </xdr:twoCellAnchor>
  <xdr:twoCellAnchor editAs="oneCell">
    <xdr:from>
      <xdr:col>6</xdr:col>
      <xdr:colOff>257735</xdr:colOff>
      <xdr:row>2</xdr:row>
      <xdr:rowOff>22411</xdr:rowOff>
    </xdr:from>
    <xdr:to>
      <xdr:col>8</xdr:col>
      <xdr:colOff>437189</xdr:colOff>
      <xdr:row>2</xdr:row>
      <xdr:rowOff>1070307</xdr:rowOff>
    </xdr:to>
    <xdr:pic>
      <xdr:nvPicPr>
        <xdr:cNvPr id="3" name="Picture 2"/>
        <xdr:cNvPicPr>
          <a:picLocks noChangeAspect="1"/>
        </xdr:cNvPicPr>
      </xdr:nvPicPr>
      <xdr:blipFill>
        <a:blip xmlns:r="http://schemas.openxmlformats.org/officeDocument/2006/relationships" r:embed="rId2"/>
        <a:stretch>
          <a:fillRect/>
        </a:stretch>
      </xdr:blipFill>
      <xdr:spPr>
        <a:xfrm>
          <a:off x="2756647" y="694764"/>
          <a:ext cx="1143160" cy="1047896"/>
        </a:xfrm>
        <a:prstGeom prst="rect">
          <a:avLst/>
        </a:prstGeom>
      </xdr:spPr>
    </xdr:pic>
    <xdr:clientData/>
  </xdr:twoCellAnchor>
  <xdr:twoCellAnchor editAs="oneCell">
    <xdr:from>
      <xdr:col>1</xdr:col>
      <xdr:colOff>235324</xdr:colOff>
      <xdr:row>2</xdr:row>
      <xdr:rowOff>100853</xdr:rowOff>
    </xdr:from>
    <xdr:to>
      <xdr:col>6</xdr:col>
      <xdr:colOff>156882</xdr:colOff>
      <xdr:row>2</xdr:row>
      <xdr:rowOff>940656</xdr:rowOff>
    </xdr:to>
    <xdr:pic>
      <xdr:nvPicPr>
        <xdr:cNvPr id="4" name="Picture 3"/>
        <xdr:cNvPicPr>
          <a:picLocks noChangeAspect="1"/>
        </xdr:cNvPicPr>
      </xdr:nvPicPr>
      <xdr:blipFill>
        <a:blip xmlns:r="http://schemas.openxmlformats.org/officeDocument/2006/relationships" r:embed="rId3"/>
        <a:stretch>
          <a:fillRect/>
        </a:stretch>
      </xdr:blipFill>
      <xdr:spPr>
        <a:xfrm>
          <a:off x="493059" y="638735"/>
          <a:ext cx="2162735" cy="8398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257263</xdr:colOff>
      <xdr:row>42</xdr:row>
      <xdr:rowOff>149226</xdr:rowOff>
    </xdr:from>
    <xdr:to>
      <xdr:col>10</xdr:col>
      <xdr:colOff>182455</xdr:colOff>
      <xdr:row>44</xdr:row>
      <xdr:rowOff>118919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srcRect l="3024" t="74341" r="83058" b="2189"/>
        <a:stretch/>
      </xdr:blipFill>
      <xdr:spPr>
        <a:xfrm>
          <a:off x="7058113" y="11217276"/>
          <a:ext cx="715767" cy="712643"/>
        </a:xfrm>
        <a:prstGeom prst="rect">
          <a:avLst/>
        </a:prstGeom>
      </xdr:spPr>
    </xdr:pic>
    <xdr:clientData/>
  </xdr:twoCellAnchor>
  <xdr:twoCellAnchor editAs="oneCell">
    <xdr:from>
      <xdr:col>9</xdr:col>
      <xdr:colOff>257263</xdr:colOff>
      <xdr:row>59</xdr:row>
      <xdr:rowOff>136525</xdr:rowOff>
    </xdr:from>
    <xdr:to>
      <xdr:col>10</xdr:col>
      <xdr:colOff>182455</xdr:colOff>
      <xdr:row>61</xdr:row>
      <xdr:rowOff>105109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srcRect l="34707" t="74185" r="51282" b="2032"/>
        <a:stretch/>
      </xdr:blipFill>
      <xdr:spPr>
        <a:xfrm>
          <a:off x="7058113" y="15214600"/>
          <a:ext cx="715767" cy="721059"/>
        </a:xfrm>
        <a:prstGeom prst="rect">
          <a:avLst/>
        </a:prstGeom>
      </xdr:spPr>
    </xdr:pic>
    <xdr:clientData/>
  </xdr:twoCellAnchor>
  <xdr:twoCellAnchor editAs="oneCell">
    <xdr:from>
      <xdr:col>8</xdr:col>
      <xdr:colOff>228688</xdr:colOff>
      <xdr:row>76</xdr:row>
      <xdr:rowOff>29633</xdr:rowOff>
    </xdr:from>
    <xdr:to>
      <xdr:col>9</xdr:col>
      <xdr:colOff>162596</xdr:colOff>
      <xdr:row>78</xdr:row>
      <xdr:rowOff>83231</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a:srcRect l="66575" t="47115" r="19414" b="28944"/>
        <a:stretch/>
      </xdr:blipFill>
      <xdr:spPr>
        <a:xfrm>
          <a:off x="6238963" y="20584583"/>
          <a:ext cx="724483" cy="729873"/>
        </a:xfrm>
        <a:prstGeom prst="rect">
          <a:avLst/>
        </a:prstGeom>
      </xdr:spPr>
    </xdr:pic>
    <xdr:clientData/>
  </xdr:twoCellAnchor>
  <xdr:twoCellAnchor editAs="oneCell">
    <xdr:from>
      <xdr:col>8</xdr:col>
      <xdr:colOff>200113</xdr:colOff>
      <xdr:row>93</xdr:row>
      <xdr:rowOff>138645</xdr:rowOff>
    </xdr:from>
    <xdr:to>
      <xdr:col>9</xdr:col>
      <xdr:colOff>134021</xdr:colOff>
      <xdr:row>94</xdr:row>
      <xdr:rowOff>667378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1"/>
        <a:srcRect l="3024" t="74341" r="83058" b="2189"/>
        <a:stretch/>
      </xdr:blipFill>
      <xdr:spPr>
        <a:xfrm>
          <a:off x="6210388" y="24036870"/>
          <a:ext cx="724483" cy="719233"/>
        </a:xfrm>
        <a:prstGeom prst="rect">
          <a:avLst/>
        </a:prstGeom>
      </xdr:spPr>
    </xdr:pic>
    <xdr:clientData/>
  </xdr:twoCellAnchor>
  <xdr:twoCellAnchor editAs="oneCell">
    <xdr:from>
      <xdr:col>9</xdr:col>
      <xdr:colOff>219163</xdr:colOff>
      <xdr:row>93</xdr:row>
      <xdr:rowOff>140757</xdr:rowOff>
    </xdr:from>
    <xdr:to>
      <xdr:col>10</xdr:col>
      <xdr:colOff>153071</xdr:colOff>
      <xdr:row>94</xdr:row>
      <xdr:rowOff>679081</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1"/>
        <a:srcRect l="34707" t="74185" r="51282" b="2032"/>
        <a:stretch/>
      </xdr:blipFill>
      <xdr:spPr>
        <a:xfrm>
          <a:off x="7020013" y="24038982"/>
          <a:ext cx="724483" cy="728824"/>
        </a:xfrm>
        <a:prstGeom prst="rect">
          <a:avLst/>
        </a:prstGeom>
      </xdr:spPr>
    </xdr:pic>
    <xdr:clientData/>
  </xdr:twoCellAnchor>
  <xdr:twoCellAnchor editAs="oneCell">
    <xdr:from>
      <xdr:col>8</xdr:col>
      <xdr:colOff>181063</xdr:colOff>
      <xdr:row>110</xdr:row>
      <xdr:rowOff>125324</xdr:rowOff>
    </xdr:from>
    <xdr:to>
      <xdr:col>9</xdr:col>
      <xdr:colOff>114971</xdr:colOff>
      <xdr:row>112</xdr:row>
      <xdr:rowOff>95250</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rotWithShape="1">
        <a:blip xmlns:r="http://schemas.openxmlformats.org/officeDocument/2006/relationships" r:embed="rId1"/>
        <a:srcRect l="18773" t="74187" r="67216" b="1874"/>
        <a:stretch/>
      </xdr:blipFill>
      <xdr:spPr>
        <a:xfrm>
          <a:off x="6191338" y="28700324"/>
          <a:ext cx="724483" cy="712876"/>
        </a:xfrm>
        <a:prstGeom prst="rect">
          <a:avLst/>
        </a:prstGeom>
      </xdr:spPr>
    </xdr:pic>
    <xdr:clientData/>
  </xdr:twoCellAnchor>
  <xdr:twoCellAnchor editAs="oneCell">
    <xdr:from>
      <xdr:col>9</xdr:col>
      <xdr:colOff>181063</xdr:colOff>
      <xdr:row>110</xdr:row>
      <xdr:rowOff>119591</xdr:rowOff>
    </xdr:from>
    <xdr:to>
      <xdr:col>10</xdr:col>
      <xdr:colOff>114971</xdr:colOff>
      <xdr:row>112</xdr:row>
      <xdr:rowOff>107566</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rotWithShape="1">
        <a:blip xmlns:r="http://schemas.openxmlformats.org/officeDocument/2006/relationships" r:embed="rId1"/>
        <a:srcRect l="34707" t="74185" r="51282" b="2032"/>
        <a:stretch/>
      </xdr:blipFill>
      <xdr:spPr>
        <a:xfrm>
          <a:off x="6981913" y="28694591"/>
          <a:ext cx="724483" cy="730925"/>
        </a:xfrm>
        <a:prstGeom prst="rect">
          <a:avLst/>
        </a:prstGeom>
      </xdr:spPr>
    </xdr:pic>
    <xdr:clientData/>
  </xdr:twoCellAnchor>
  <xdr:twoCellAnchor editAs="oneCell">
    <xdr:from>
      <xdr:col>8</xdr:col>
      <xdr:colOff>200113</xdr:colOff>
      <xdr:row>123</xdr:row>
      <xdr:rowOff>67795</xdr:rowOff>
    </xdr:from>
    <xdr:to>
      <xdr:col>9</xdr:col>
      <xdr:colOff>134021</xdr:colOff>
      <xdr:row>127</xdr:row>
      <xdr:rowOff>17686</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rotWithShape="1">
        <a:blip xmlns:r="http://schemas.openxmlformats.org/officeDocument/2006/relationships" r:embed="rId1"/>
        <a:srcRect l="18864" t="19734" r="67032" b="56170"/>
        <a:stretch/>
      </xdr:blipFill>
      <xdr:spPr>
        <a:xfrm>
          <a:off x="6210388" y="33824395"/>
          <a:ext cx="724483" cy="721416"/>
        </a:xfrm>
        <a:prstGeom prst="rect">
          <a:avLst/>
        </a:prstGeom>
      </xdr:spPr>
    </xdr:pic>
    <xdr:clientData/>
  </xdr:twoCellAnchor>
  <xdr:twoCellAnchor editAs="oneCell">
    <xdr:from>
      <xdr:col>8</xdr:col>
      <xdr:colOff>200113</xdr:colOff>
      <xdr:row>127</xdr:row>
      <xdr:rowOff>95120</xdr:rowOff>
    </xdr:from>
    <xdr:to>
      <xdr:col>9</xdr:col>
      <xdr:colOff>134021</xdr:colOff>
      <xdr:row>129</xdr:row>
      <xdr:rowOff>79942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rotWithShape="1">
        <a:blip xmlns:r="http://schemas.openxmlformats.org/officeDocument/2006/relationships" r:embed="rId1"/>
        <a:srcRect l="18773" t="74187" r="67216" b="1874"/>
        <a:stretch/>
      </xdr:blipFill>
      <xdr:spPr>
        <a:xfrm>
          <a:off x="6210388" y="34623245"/>
          <a:ext cx="724483" cy="727772"/>
        </a:xfrm>
        <a:prstGeom prst="rect">
          <a:avLst/>
        </a:prstGeom>
      </xdr:spPr>
    </xdr:pic>
    <xdr:clientData/>
  </xdr:twoCellAnchor>
  <xdr:twoCellAnchor editAs="oneCell">
    <xdr:from>
      <xdr:col>9</xdr:col>
      <xdr:colOff>200113</xdr:colOff>
      <xdr:row>127</xdr:row>
      <xdr:rowOff>97866</xdr:rowOff>
    </xdr:from>
    <xdr:to>
      <xdr:col>10</xdr:col>
      <xdr:colOff>134021</xdr:colOff>
      <xdr:row>129</xdr:row>
      <xdr:rowOff>85840</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rotWithShape="1">
        <a:blip xmlns:r="http://schemas.openxmlformats.org/officeDocument/2006/relationships" r:embed="rId1"/>
        <a:srcRect l="34707" t="74185" r="51282" b="2032"/>
        <a:stretch/>
      </xdr:blipFill>
      <xdr:spPr>
        <a:xfrm>
          <a:off x="7000963" y="34625991"/>
          <a:ext cx="724483" cy="730924"/>
        </a:xfrm>
        <a:prstGeom prst="rect">
          <a:avLst/>
        </a:prstGeom>
      </xdr:spPr>
    </xdr:pic>
    <xdr:clientData/>
  </xdr:twoCellAnchor>
  <xdr:twoCellAnchor editAs="oneCell">
    <xdr:from>
      <xdr:col>9</xdr:col>
      <xdr:colOff>219163</xdr:colOff>
      <xdr:row>140</xdr:row>
      <xdr:rowOff>127001</xdr:rowOff>
    </xdr:from>
    <xdr:to>
      <xdr:col>10</xdr:col>
      <xdr:colOff>153071</xdr:colOff>
      <xdr:row>144</xdr:row>
      <xdr:rowOff>93823</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rotWithShape="1">
        <a:blip xmlns:r="http://schemas.openxmlformats.org/officeDocument/2006/relationships" r:embed="rId1"/>
        <a:srcRect l="34707" t="46960" r="51190" b="28944"/>
        <a:stretch/>
      </xdr:blipFill>
      <xdr:spPr>
        <a:xfrm>
          <a:off x="7020013" y="38255576"/>
          <a:ext cx="724483" cy="728822"/>
        </a:xfrm>
        <a:prstGeom prst="rect">
          <a:avLst/>
        </a:prstGeom>
      </xdr:spPr>
    </xdr:pic>
    <xdr:clientData/>
  </xdr:twoCellAnchor>
  <xdr:twoCellAnchor editAs="oneCell">
    <xdr:from>
      <xdr:col>8</xdr:col>
      <xdr:colOff>219163</xdr:colOff>
      <xdr:row>144</xdr:row>
      <xdr:rowOff>167216</xdr:rowOff>
    </xdr:from>
    <xdr:to>
      <xdr:col>9</xdr:col>
      <xdr:colOff>153071</xdr:colOff>
      <xdr:row>146</xdr:row>
      <xdr:rowOff>105464</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rotWithShape="1">
        <a:blip xmlns:r="http://schemas.openxmlformats.org/officeDocument/2006/relationships" r:embed="rId1"/>
        <a:srcRect l="66575" t="47115" r="19414" b="28944"/>
        <a:stretch/>
      </xdr:blipFill>
      <xdr:spPr>
        <a:xfrm>
          <a:off x="6229438" y="39057791"/>
          <a:ext cx="724483" cy="728823"/>
        </a:xfrm>
        <a:prstGeom prst="rect">
          <a:avLst/>
        </a:prstGeom>
      </xdr:spPr>
    </xdr:pic>
    <xdr:clientData/>
  </xdr:twoCellAnchor>
  <xdr:twoCellAnchor editAs="oneCell">
    <xdr:from>
      <xdr:col>9</xdr:col>
      <xdr:colOff>228688</xdr:colOff>
      <xdr:row>144</xdr:row>
      <xdr:rowOff>172654</xdr:rowOff>
    </xdr:from>
    <xdr:to>
      <xdr:col>10</xdr:col>
      <xdr:colOff>162596</xdr:colOff>
      <xdr:row>146</xdr:row>
      <xdr:rowOff>108609</xdr:rowOff>
    </xdr:to>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rotWithShape="1">
        <a:blip xmlns:r="http://schemas.openxmlformats.org/officeDocument/2006/relationships" r:embed="rId1"/>
        <a:srcRect l="3024" t="74341" r="83058" b="2189"/>
        <a:stretch/>
      </xdr:blipFill>
      <xdr:spPr>
        <a:xfrm>
          <a:off x="7029538" y="39063229"/>
          <a:ext cx="724483" cy="726530"/>
        </a:xfrm>
        <a:prstGeom prst="rect">
          <a:avLst/>
        </a:prstGeom>
      </xdr:spPr>
    </xdr:pic>
    <xdr:clientData/>
  </xdr:twoCellAnchor>
  <xdr:twoCellAnchor editAs="oneCell">
    <xdr:from>
      <xdr:col>8</xdr:col>
      <xdr:colOff>238213</xdr:colOff>
      <xdr:row>161</xdr:row>
      <xdr:rowOff>147110</xdr:rowOff>
    </xdr:from>
    <xdr:to>
      <xdr:col>9</xdr:col>
      <xdr:colOff>172121</xdr:colOff>
      <xdr:row>163</xdr:row>
      <xdr:rowOff>95725</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rotWithShape="1">
        <a:blip xmlns:r="http://schemas.openxmlformats.org/officeDocument/2006/relationships" r:embed="rId1"/>
        <a:srcRect l="2931" t="47117" r="83058" b="29100"/>
        <a:stretch/>
      </xdr:blipFill>
      <xdr:spPr>
        <a:xfrm>
          <a:off x="6248488" y="43723985"/>
          <a:ext cx="724483" cy="691565"/>
        </a:xfrm>
        <a:prstGeom prst="rect">
          <a:avLst/>
        </a:prstGeom>
      </xdr:spPr>
    </xdr:pic>
    <xdr:clientData/>
  </xdr:twoCellAnchor>
  <xdr:twoCellAnchor editAs="oneCell">
    <xdr:from>
      <xdr:col>9</xdr:col>
      <xdr:colOff>228689</xdr:colOff>
      <xdr:row>161</xdr:row>
      <xdr:rowOff>147109</xdr:rowOff>
    </xdr:from>
    <xdr:to>
      <xdr:col>10</xdr:col>
      <xdr:colOff>132222</xdr:colOff>
      <xdr:row>163</xdr:row>
      <xdr:rowOff>95251</xdr:rowOff>
    </xdr:to>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rotWithShape="1">
        <a:blip xmlns:r="http://schemas.openxmlformats.org/officeDocument/2006/relationships" r:embed="rId1"/>
        <a:srcRect l="3024" t="74341" r="83058" b="2189"/>
        <a:stretch/>
      </xdr:blipFill>
      <xdr:spPr>
        <a:xfrm>
          <a:off x="7029539" y="44124034"/>
          <a:ext cx="694108" cy="691092"/>
        </a:xfrm>
        <a:prstGeom prst="rect">
          <a:avLst/>
        </a:prstGeom>
      </xdr:spPr>
    </xdr:pic>
    <xdr:clientData/>
  </xdr:twoCellAnchor>
  <xdr:twoCellAnchor editAs="oneCell">
    <xdr:from>
      <xdr:col>9</xdr:col>
      <xdr:colOff>247738</xdr:colOff>
      <xdr:row>76</xdr:row>
      <xdr:rowOff>37043</xdr:rowOff>
    </xdr:from>
    <xdr:to>
      <xdr:col>10</xdr:col>
      <xdr:colOff>181646</xdr:colOff>
      <xdr:row>78</xdr:row>
      <xdr:rowOff>82102</xdr:rowOff>
    </xdr:to>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rotWithShape="1">
        <a:blip xmlns:r="http://schemas.openxmlformats.org/officeDocument/2006/relationships" r:embed="rId1"/>
        <a:srcRect l="3024" t="74341" r="83058" b="2189"/>
        <a:stretch/>
      </xdr:blipFill>
      <xdr:spPr>
        <a:xfrm>
          <a:off x="7048588" y="20591993"/>
          <a:ext cx="724483" cy="721334"/>
        </a:xfrm>
        <a:prstGeom prst="rect">
          <a:avLst/>
        </a:prstGeom>
      </xdr:spPr>
    </xdr:pic>
    <xdr:clientData/>
  </xdr:twoCellAnchor>
  <xdr:twoCellAnchor editAs="oneCell">
    <xdr:from>
      <xdr:col>8</xdr:col>
      <xdr:colOff>276313</xdr:colOff>
      <xdr:row>59</xdr:row>
      <xdr:rowOff>133351</xdr:rowOff>
    </xdr:from>
    <xdr:to>
      <xdr:col>9</xdr:col>
      <xdr:colOff>201505</xdr:colOff>
      <xdr:row>61</xdr:row>
      <xdr:rowOff>104051</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rotWithShape="1">
        <a:blip xmlns:r="http://schemas.openxmlformats.org/officeDocument/2006/relationships" r:embed="rId1"/>
        <a:srcRect l="66575" t="47115" r="19414" b="28944"/>
        <a:stretch/>
      </xdr:blipFill>
      <xdr:spPr>
        <a:xfrm>
          <a:off x="6286588" y="15211426"/>
          <a:ext cx="715767" cy="723175"/>
        </a:xfrm>
        <a:prstGeom prst="rect">
          <a:avLst/>
        </a:prstGeom>
      </xdr:spPr>
    </xdr:pic>
    <xdr:clientData/>
  </xdr:twoCellAnchor>
  <xdr:twoCellAnchor editAs="oneCell">
    <xdr:from>
      <xdr:col>9</xdr:col>
      <xdr:colOff>217482</xdr:colOff>
      <xdr:row>178</xdr:row>
      <xdr:rowOff>119592</xdr:rowOff>
    </xdr:from>
    <xdr:to>
      <xdr:col>10</xdr:col>
      <xdr:colOff>151390</xdr:colOff>
      <xdr:row>180</xdr:row>
      <xdr:rowOff>97977</xdr:rowOff>
    </xdr:to>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rotWithShape="1">
        <a:blip xmlns:r="http://schemas.openxmlformats.org/officeDocument/2006/relationships" r:embed="rId1"/>
        <a:srcRect l="3024" t="74341" r="83058" b="2189"/>
        <a:stretch/>
      </xdr:blipFill>
      <xdr:spPr>
        <a:xfrm>
          <a:off x="7018332" y="49059042"/>
          <a:ext cx="724483" cy="721335"/>
        </a:xfrm>
        <a:prstGeom prst="rect">
          <a:avLst/>
        </a:prstGeom>
      </xdr:spPr>
    </xdr:pic>
    <xdr:clientData/>
  </xdr:twoCellAnchor>
  <xdr:twoCellAnchor editAs="oneCell">
    <xdr:from>
      <xdr:col>8</xdr:col>
      <xdr:colOff>217482</xdr:colOff>
      <xdr:row>174</xdr:row>
      <xdr:rowOff>76328</xdr:rowOff>
    </xdr:from>
    <xdr:to>
      <xdr:col>9</xdr:col>
      <xdr:colOff>151390</xdr:colOff>
      <xdr:row>178</xdr:row>
      <xdr:rowOff>43852</xdr:rowOff>
    </xdr:to>
    <xdr:pic>
      <xdr:nvPicPr>
        <xdr:cNvPr id="20" name="Picture 19">
          <a:extLst>
            <a:ext uri="{FF2B5EF4-FFF2-40B4-BE49-F238E27FC236}">
              <a16:creationId xmlns:a16="http://schemas.microsoft.com/office/drawing/2014/main" id="{00000000-0008-0000-0300-000014000000}"/>
            </a:ext>
          </a:extLst>
        </xdr:cNvPr>
        <xdr:cNvPicPr>
          <a:picLocks noChangeAspect="1"/>
        </xdr:cNvPicPr>
      </xdr:nvPicPr>
      <xdr:blipFill rotWithShape="1">
        <a:blip xmlns:r="http://schemas.openxmlformats.org/officeDocument/2006/relationships" r:embed="rId1"/>
        <a:srcRect l="34707" t="46960" r="51190" b="28944"/>
        <a:stretch/>
      </xdr:blipFill>
      <xdr:spPr>
        <a:xfrm>
          <a:off x="6227757" y="48263303"/>
          <a:ext cx="724483" cy="719999"/>
        </a:xfrm>
        <a:prstGeom prst="rect">
          <a:avLst/>
        </a:prstGeom>
      </xdr:spPr>
    </xdr:pic>
    <xdr:clientData/>
  </xdr:twoCellAnchor>
  <xdr:twoCellAnchor editAs="oneCell">
    <xdr:from>
      <xdr:col>9</xdr:col>
      <xdr:colOff>217482</xdr:colOff>
      <xdr:row>174</xdr:row>
      <xdr:rowOff>79253</xdr:rowOff>
    </xdr:from>
    <xdr:to>
      <xdr:col>10</xdr:col>
      <xdr:colOff>151390</xdr:colOff>
      <xdr:row>178</xdr:row>
      <xdr:rowOff>53920</xdr:rowOff>
    </xdr:to>
    <xdr:pic>
      <xdr:nvPicPr>
        <xdr:cNvPr id="21" name="Picture 20">
          <a:extLst>
            <a:ext uri="{FF2B5EF4-FFF2-40B4-BE49-F238E27FC236}">
              <a16:creationId xmlns:a16="http://schemas.microsoft.com/office/drawing/2014/main" id="{00000000-0008-0000-0300-000015000000}"/>
            </a:ext>
          </a:extLst>
        </xdr:cNvPr>
        <xdr:cNvPicPr>
          <a:picLocks noChangeAspect="1"/>
        </xdr:cNvPicPr>
      </xdr:nvPicPr>
      <xdr:blipFill rotWithShape="1">
        <a:blip xmlns:r="http://schemas.openxmlformats.org/officeDocument/2006/relationships" r:embed="rId1"/>
        <a:srcRect l="66575" t="47115" r="19414" b="28944"/>
        <a:stretch/>
      </xdr:blipFill>
      <xdr:spPr>
        <a:xfrm>
          <a:off x="7018332" y="48266228"/>
          <a:ext cx="724483" cy="727142"/>
        </a:xfrm>
        <a:prstGeom prst="rect">
          <a:avLst/>
        </a:prstGeom>
      </xdr:spPr>
    </xdr:pic>
    <xdr:clientData/>
  </xdr:twoCellAnchor>
  <xdr:twoCellAnchor editAs="oneCell">
    <xdr:from>
      <xdr:col>8</xdr:col>
      <xdr:colOff>217482</xdr:colOff>
      <xdr:row>178</xdr:row>
      <xdr:rowOff>117786</xdr:rowOff>
    </xdr:from>
    <xdr:to>
      <xdr:col>9</xdr:col>
      <xdr:colOff>151390</xdr:colOff>
      <xdr:row>180</xdr:row>
      <xdr:rowOff>108212</xdr:rowOff>
    </xdr:to>
    <xdr:pic>
      <xdr:nvPicPr>
        <xdr:cNvPr id="22" name="Picture 21">
          <a:extLst>
            <a:ext uri="{FF2B5EF4-FFF2-40B4-BE49-F238E27FC236}">
              <a16:creationId xmlns:a16="http://schemas.microsoft.com/office/drawing/2014/main" id="{00000000-0008-0000-0300-000016000000}"/>
            </a:ext>
          </a:extLst>
        </xdr:cNvPr>
        <xdr:cNvPicPr>
          <a:picLocks noChangeAspect="1"/>
        </xdr:cNvPicPr>
      </xdr:nvPicPr>
      <xdr:blipFill rotWithShape="1">
        <a:blip xmlns:r="http://schemas.openxmlformats.org/officeDocument/2006/relationships" r:embed="rId1"/>
        <a:srcRect l="82509" t="47116" r="3481" b="28944"/>
        <a:stretch/>
      </xdr:blipFill>
      <xdr:spPr>
        <a:xfrm>
          <a:off x="6227757" y="49057236"/>
          <a:ext cx="724483" cy="733376"/>
        </a:xfrm>
        <a:prstGeom prst="rect">
          <a:avLst/>
        </a:prstGeom>
      </xdr:spPr>
    </xdr:pic>
    <xdr:clientData/>
  </xdr:twoCellAnchor>
  <xdr:twoCellAnchor editAs="oneCell">
    <xdr:from>
      <xdr:col>9</xdr:col>
      <xdr:colOff>226561</xdr:colOff>
      <xdr:row>195</xdr:row>
      <xdr:rowOff>134844</xdr:rowOff>
    </xdr:from>
    <xdr:to>
      <xdr:col>10</xdr:col>
      <xdr:colOff>160469</xdr:colOff>
      <xdr:row>197</xdr:row>
      <xdr:rowOff>116583</xdr:rowOff>
    </xdr:to>
    <xdr:pic>
      <xdr:nvPicPr>
        <xdr:cNvPr id="23" name="Picture 22">
          <a:extLst>
            <a:ext uri="{FF2B5EF4-FFF2-40B4-BE49-F238E27FC236}">
              <a16:creationId xmlns:a16="http://schemas.microsoft.com/office/drawing/2014/main" id="{00000000-0008-0000-0300-000017000000}"/>
            </a:ext>
          </a:extLst>
        </xdr:cNvPr>
        <xdr:cNvPicPr>
          <a:picLocks noChangeAspect="1"/>
        </xdr:cNvPicPr>
      </xdr:nvPicPr>
      <xdr:blipFill rotWithShape="1">
        <a:blip xmlns:r="http://schemas.openxmlformats.org/officeDocument/2006/relationships" r:embed="rId1"/>
        <a:srcRect l="3024" t="74341" r="83058" b="2189"/>
        <a:stretch/>
      </xdr:blipFill>
      <xdr:spPr>
        <a:xfrm>
          <a:off x="7027411" y="54760719"/>
          <a:ext cx="724483" cy="724689"/>
        </a:xfrm>
        <a:prstGeom prst="rect">
          <a:avLst/>
        </a:prstGeom>
      </xdr:spPr>
    </xdr:pic>
    <xdr:clientData/>
  </xdr:twoCellAnchor>
  <xdr:twoCellAnchor editAs="oneCell">
    <xdr:from>
      <xdr:col>8</xdr:col>
      <xdr:colOff>217036</xdr:colOff>
      <xdr:row>191</xdr:row>
      <xdr:rowOff>81563</xdr:rowOff>
    </xdr:from>
    <xdr:to>
      <xdr:col>9</xdr:col>
      <xdr:colOff>150944</xdr:colOff>
      <xdr:row>195</xdr:row>
      <xdr:rowOff>47755</xdr:rowOff>
    </xdr:to>
    <xdr:pic>
      <xdr:nvPicPr>
        <xdr:cNvPr id="24" name="Picture 23">
          <a:extLst>
            <a:ext uri="{FF2B5EF4-FFF2-40B4-BE49-F238E27FC236}">
              <a16:creationId xmlns:a16="http://schemas.microsoft.com/office/drawing/2014/main" id="{00000000-0008-0000-0300-000018000000}"/>
            </a:ext>
          </a:extLst>
        </xdr:cNvPr>
        <xdr:cNvPicPr>
          <a:picLocks noChangeAspect="1"/>
        </xdr:cNvPicPr>
      </xdr:nvPicPr>
      <xdr:blipFill rotWithShape="1">
        <a:blip xmlns:r="http://schemas.openxmlformats.org/officeDocument/2006/relationships" r:embed="rId1"/>
        <a:srcRect l="34707" t="46960" r="51190" b="28944"/>
        <a:stretch/>
      </xdr:blipFill>
      <xdr:spPr>
        <a:xfrm>
          <a:off x="6227311" y="53945438"/>
          <a:ext cx="724483" cy="728192"/>
        </a:xfrm>
        <a:prstGeom prst="rect">
          <a:avLst/>
        </a:prstGeom>
      </xdr:spPr>
    </xdr:pic>
    <xdr:clientData/>
  </xdr:twoCellAnchor>
  <xdr:twoCellAnchor editAs="oneCell">
    <xdr:from>
      <xdr:col>9</xdr:col>
      <xdr:colOff>226561</xdr:colOff>
      <xdr:row>191</xdr:row>
      <xdr:rowOff>87221</xdr:rowOff>
    </xdr:from>
    <xdr:to>
      <xdr:col>10</xdr:col>
      <xdr:colOff>160469</xdr:colOff>
      <xdr:row>195</xdr:row>
      <xdr:rowOff>54048</xdr:rowOff>
    </xdr:to>
    <xdr:pic>
      <xdr:nvPicPr>
        <xdr:cNvPr id="25" name="Picture 24">
          <a:extLst>
            <a:ext uri="{FF2B5EF4-FFF2-40B4-BE49-F238E27FC236}">
              <a16:creationId xmlns:a16="http://schemas.microsoft.com/office/drawing/2014/main" id="{00000000-0008-0000-0300-000019000000}"/>
            </a:ext>
          </a:extLst>
        </xdr:cNvPr>
        <xdr:cNvPicPr>
          <a:picLocks noChangeAspect="1"/>
        </xdr:cNvPicPr>
      </xdr:nvPicPr>
      <xdr:blipFill rotWithShape="1">
        <a:blip xmlns:r="http://schemas.openxmlformats.org/officeDocument/2006/relationships" r:embed="rId1"/>
        <a:srcRect l="66575" t="47115" r="19414" b="28944"/>
        <a:stretch/>
      </xdr:blipFill>
      <xdr:spPr>
        <a:xfrm>
          <a:off x="7027411" y="53951096"/>
          <a:ext cx="724483" cy="728827"/>
        </a:xfrm>
        <a:prstGeom prst="rect">
          <a:avLst/>
        </a:prstGeom>
      </xdr:spPr>
    </xdr:pic>
    <xdr:clientData/>
  </xdr:twoCellAnchor>
  <xdr:twoCellAnchor editAs="oneCell">
    <xdr:from>
      <xdr:col>8</xdr:col>
      <xdr:colOff>226561</xdr:colOff>
      <xdr:row>195</xdr:row>
      <xdr:rowOff>117910</xdr:rowOff>
    </xdr:from>
    <xdr:to>
      <xdr:col>9</xdr:col>
      <xdr:colOff>160469</xdr:colOff>
      <xdr:row>197</xdr:row>
      <xdr:rowOff>103787</xdr:rowOff>
    </xdr:to>
    <xdr:pic>
      <xdr:nvPicPr>
        <xdr:cNvPr id="26" name="Picture 25">
          <a:extLst>
            <a:ext uri="{FF2B5EF4-FFF2-40B4-BE49-F238E27FC236}">
              <a16:creationId xmlns:a16="http://schemas.microsoft.com/office/drawing/2014/main" id="{00000000-0008-0000-0300-00001A000000}"/>
            </a:ext>
          </a:extLst>
        </xdr:cNvPr>
        <xdr:cNvPicPr>
          <a:picLocks noChangeAspect="1"/>
        </xdr:cNvPicPr>
      </xdr:nvPicPr>
      <xdr:blipFill rotWithShape="1">
        <a:blip xmlns:r="http://schemas.openxmlformats.org/officeDocument/2006/relationships" r:embed="rId1"/>
        <a:srcRect l="82509" t="47116" r="3481" b="28944"/>
        <a:stretch/>
      </xdr:blipFill>
      <xdr:spPr>
        <a:xfrm>
          <a:off x="6236836" y="54743785"/>
          <a:ext cx="724483" cy="728827"/>
        </a:xfrm>
        <a:prstGeom prst="rect">
          <a:avLst/>
        </a:prstGeom>
      </xdr:spPr>
    </xdr:pic>
    <xdr:clientData/>
  </xdr:twoCellAnchor>
  <xdr:twoCellAnchor editAs="oneCell">
    <xdr:from>
      <xdr:col>9</xdr:col>
      <xdr:colOff>226561</xdr:colOff>
      <xdr:row>187</xdr:row>
      <xdr:rowOff>53444</xdr:rowOff>
    </xdr:from>
    <xdr:to>
      <xdr:col>10</xdr:col>
      <xdr:colOff>160469</xdr:colOff>
      <xdr:row>191</xdr:row>
      <xdr:rowOff>19409</xdr:rowOff>
    </xdr:to>
    <xdr:pic>
      <xdr:nvPicPr>
        <xdr:cNvPr id="27" name="Picture 26">
          <a:extLst>
            <a:ext uri="{FF2B5EF4-FFF2-40B4-BE49-F238E27FC236}">
              <a16:creationId xmlns:a16="http://schemas.microsoft.com/office/drawing/2014/main" id="{00000000-0008-0000-0300-00001B000000}"/>
            </a:ext>
          </a:extLst>
        </xdr:cNvPr>
        <xdr:cNvPicPr>
          <a:picLocks noChangeAspect="1"/>
        </xdr:cNvPicPr>
      </xdr:nvPicPr>
      <xdr:blipFill rotWithShape="1">
        <a:blip xmlns:r="http://schemas.openxmlformats.org/officeDocument/2006/relationships" r:embed="rId1"/>
        <a:srcRect l="18864" t="19734" r="67032" b="56170"/>
        <a:stretch/>
      </xdr:blipFill>
      <xdr:spPr>
        <a:xfrm>
          <a:off x="7027411" y="53155319"/>
          <a:ext cx="724483" cy="727965"/>
        </a:xfrm>
        <a:prstGeom prst="rect">
          <a:avLst/>
        </a:prstGeom>
      </xdr:spPr>
    </xdr:pic>
    <xdr:clientData/>
  </xdr:twoCellAnchor>
  <xdr:twoCellAnchor editAs="oneCell">
    <xdr:from>
      <xdr:col>9</xdr:col>
      <xdr:colOff>200113</xdr:colOff>
      <xdr:row>123</xdr:row>
      <xdr:rowOff>80246</xdr:rowOff>
    </xdr:from>
    <xdr:to>
      <xdr:col>10</xdr:col>
      <xdr:colOff>134021</xdr:colOff>
      <xdr:row>127</xdr:row>
      <xdr:rowOff>32779</xdr:rowOff>
    </xdr:to>
    <xdr:pic>
      <xdr:nvPicPr>
        <xdr:cNvPr id="28" name="Picture 27">
          <a:extLst>
            <a:ext uri="{FF2B5EF4-FFF2-40B4-BE49-F238E27FC236}">
              <a16:creationId xmlns:a16="http://schemas.microsoft.com/office/drawing/2014/main" id="{00000000-0008-0000-0300-00001C000000}"/>
            </a:ext>
          </a:extLst>
        </xdr:cNvPr>
        <xdr:cNvPicPr>
          <a:picLocks noChangeAspect="1"/>
        </xdr:cNvPicPr>
      </xdr:nvPicPr>
      <xdr:blipFill rotWithShape="1">
        <a:blip xmlns:r="http://schemas.openxmlformats.org/officeDocument/2006/relationships" r:embed="rId1"/>
        <a:srcRect l="82234" t="19891" r="3755" b="56326"/>
        <a:stretch/>
      </xdr:blipFill>
      <xdr:spPr>
        <a:xfrm>
          <a:off x="7000963" y="33836846"/>
          <a:ext cx="724483" cy="724058"/>
        </a:xfrm>
        <a:prstGeom prst="rect">
          <a:avLst/>
        </a:prstGeom>
      </xdr:spPr>
    </xdr:pic>
    <xdr:clientData/>
  </xdr:twoCellAnchor>
  <xdr:oneCellAnchor>
    <xdr:from>
      <xdr:col>6</xdr:col>
      <xdr:colOff>933943</xdr:colOff>
      <xdr:row>1</xdr:row>
      <xdr:rowOff>76201</xdr:rowOff>
    </xdr:from>
    <xdr:ext cx="1290512" cy="476249"/>
    <xdr:pic>
      <xdr:nvPicPr>
        <xdr:cNvPr id="29" name="Picture 28">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582018" y="266701"/>
          <a:ext cx="1290512" cy="476249"/>
        </a:xfrm>
        <a:prstGeom prst="rect">
          <a:avLst/>
        </a:prstGeom>
      </xdr:spPr>
    </xdr:pic>
    <xdr:clientData/>
  </xdr:oneCellAnchor>
  <xdr:oneCellAnchor>
    <xdr:from>
      <xdr:col>7</xdr:col>
      <xdr:colOff>702748</xdr:colOff>
      <xdr:row>1</xdr:row>
      <xdr:rowOff>104776</xdr:rowOff>
    </xdr:from>
    <xdr:ext cx="1802328" cy="441348"/>
    <xdr:pic>
      <xdr:nvPicPr>
        <xdr:cNvPr id="30" name="Picture 29">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5922448" y="295276"/>
          <a:ext cx="1802328" cy="441348"/>
        </a:xfrm>
        <a:prstGeom prst="rect">
          <a:avLst/>
        </a:prstGeom>
      </xdr:spPr>
    </xdr:pic>
    <xdr:clientData/>
  </xdr:oneCellAnchor>
  <xdr:oneCellAnchor>
    <xdr:from>
      <xdr:col>2</xdr:col>
      <xdr:colOff>51707</xdr:colOff>
      <xdr:row>13</xdr:row>
      <xdr:rowOff>27217</xdr:rowOff>
    </xdr:from>
    <xdr:ext cx="3034394" cy="377333"/>
    <xdr:pic>
      <xdr:nvPicPr>
        <xdr:cNvPr id="32" name="Picture 31">
          <a:extLst>
            <a:ext uri="{FF2B5EF4-FFF2-40B4-BE49-F238E27FC236}">
              <a16:creationId xmlns:a16="http://schemas.microsoft.com/office/drawing/2014/main" id="{00000000-0008-0000-0300-000020000000}"/>
            </a:ext>
          </a:extLst>
        </xdr:cNvPr>
        <xdr:cNvPicPr>
          <a:picLocks noChangeAspect="1"/>
        </xdr:cNvPicPr>
      </xdr:nvPicPr>
      <xdr:blipFill rotWithShape="1">
        <a:blip xmlns:r="http://schemas.openxmlformats.org/officeDocument/2006/relationships" r:embed="rId1"/>
        <a:srcRect l="20787" t="1427" r="21795" b="86056"/>
        <a:stretch/>
      </xdr:blipFill>
      <xdr:spPr>
        <a:xfrm>
          <a:off x="537482" y="3380017"/>
          <a:ext cx="3034394" cy="37733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335945</xdr:colOff>
      <xdr:row>13</xdr:row>
      <xdr:rowOff>113854</xdr:rowOff>
    </xdr:from>
    <xdr:to>
      <xdr:col>10</xdr:col>
      <xdr:colOff>135613</xdr:colOff>
      <xdr:row>16</xdr:row>
      <xdr:rowOff>71740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2839" t="19734" r="82967" b="56013"/>
        <a:stretch/>
      </xdr:blipFill>
      <xdr:spPr>
        <a:xfrm>
          <a:off x="7041545" y="3371404"/>
          <a:ext cx="533093" cy="529386"/>
        </a:xfrm>
        <a:prstGeom prst="rect">
          <a:avLst/>
        </a:prstGeom>
      </xdr:spPr>
    </xdr:pic>
    <xdr:clientData/>
  </xdr:twoCellAnchor>
  <xdr:twoCellAnchor editAs="oneCell">
    <xdr:from>
      <xdr:col>8</xdr:col>
      <xdr:colOff>577512</xdr:colOff>
      <xdr:row>16</xdr:row>
      <xdr:rowOff>123825</xdr:rowOff>
    </xdr:from>
    <xdr:to>
      <xdr:col>9</xdr:col>
      <xdr:colOff>288571</xdr:colOff>
      <xdr:row>18</xdr:row>
      <xdr:rowOff>6747</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1"/>
        <a:srcRect l="18864" t="19734" r="67032" b="56170"/>
        <a:stretch/>
      </xdr:blipFill>
      <xdr:spPr>
        <a:xfrm>
          <a:off x="6463962" y="3952875"/>
          <a:ext cx="530209" cy="530622"/>
        </a:xfrm>
        <a:prstGeom prst="rect">
          <a:avLst/>
        </a:prstGeom>
      </xdr:spPr>
    </xdr:pic>
    <xdr:clientData/>
  </xdr:twoCellAnchor>
  <xdr:twoCellAnchor editAs="oneCell">
    <xdr:from>
      <xdr:col>9</xdr:col>
      <xdr:colOff>326421</xdr:colOff>
      <xdr:row>16</xdr:row>
      <xdr:rowOff>123825</xdr:rowOff>
    </xdr:from>
    <xdr:to>
      <xdr:col>10</xdr:col>
      <xdr:colOff>126089</xdr:colOff>
      <xdr:row>18</xdr:row>
      <xdr:rowOff>6746</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1"/>
        <a:srcRect l="34707" t="19734" r="51373" b="56483"/>
        <a:stretch/>
      </xdr:blipFill>
      <xdr:spPr>
        <a:xfrm>
          <a:off x="7032021" y="3952875"/>
          <a:ext cx="533093" cy="530621"/>
        </a:xfrm>
        <a:prstGeom prst="rect">
          <a:avLst/>
        </a:prstGeom>
      </xdr:spPr>
    </xdr:pic>
    <xdr:clientData/>
  </xdr:twoCellAnchor>
  <xdr:twoCellAnchor editAs="oneCell">
    <xdr:from>
      <xdr:col>8</xdr:col>
      <xdr:colOff>619124</xdr:colOff>
      <xdr:row>32</xdr:row>
      <xdr:rowOff>40523</xdr:rowOff>
    </xdr:from>
    <xdr:to>
      <xdr:col>9</xdr:col>
      <xdr:colOff>303139</xdr:colOff>
      <xdr:row>34</xdr:row>
      <xdr:rowOff>159208</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1"/>
        <a:srcRect l="2839" t="19734" r="82967" b="56013"/>
        <a:stretch/>
      </xdr:blipFill>
      <xdr:spPr>
        <a:xfrm>
          <a:off x="6505574" y="7946273"/>
          <a:ext cx="503165" cy="499685"/>
        </a:xfrm>
        <a:prstGeom prst="rect">
          <a:avLst/>
        </a:prstGeom>
      </xdr:spPr>
    </xdr:pic>
    <xdr:clientData/>
  </xdr:twoCellAnchor>
  <xdr:twoCellAnchor editAs="oneCell">
    <xdr:from>
      <xdr:col>9</xdr:col>
      <xdr:colOff>349463</xdr:colOff>
      <xdr:row>32</xdr:row>
      <xdr:rowOff>38915</xdr:rowOff>
    </xdr:from>
    <xdr:to>
      <xdr:col>10</xdr:col>
      <xdr:colOff>122727</xdr:colOff>
      <xdr:row>34</xdr:row>
      <xdr:rowOff>149965</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1"/>
        <a:srcRect l="18864" t="19734" r="67032" b="56170"/>
        <a:stretch/>
      </xdr:blipFill>
      <xdr:spPr>
        <a:xfrm>
          <a:off x="7055063" y="7944665"/>
          <a:ext cx="506689" cy="492050"/>
        </a:xfrm>
        <a:prstGeom prst="rect">
          <a:avLst/>
        </a:prstGeom>
      </xdr:spPr>
    </xdr:pic>
    <xdr:clientData/>
  </xdr:twoCellAnchor>
  <xdr:twoCellAnchor editAs="oneCell">
    <xdr:from>
      <xdr:col>8</xdr:col>
      <xdr:colOff>628649</xdr:colOff>
      <xdr:row>34</xdr:row>
      <xdr:rowOff>203948</xdr:rowOff>
    </xdr:from>
    <xdr:to>
      <xdr:col>9</xdr:col>
      <xdr:colOff>312664</xdr:colOff>
      <xdr:row>35</xdr:row>
      <xdr:rowOff>135613</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1"/>
        <a:srcRect l="34707" t="19734" r="51373" b="56483"/>
        <a:stretch/>
      </xdr:blipFill>
      <xdr:spPr>
        <a:xfrm>
          <a:off x="6515099" y="8490698"/>
          <a:ext cx="503165" cy="503165"/>
        </a:xfrm>
        <a:prstGeom prst="rect">
          <a:avLst/>
        </a:prstGeom>
      </xdr:spPr>
    </xdr:pic>
    <xdr:clientData/>
  </xdr:twoCellAnchor>
  <xdr:twoCellAnchor editAs="oneCell">
    <xdr:from>
      <xdr:col>9</xdr:col>
      <xdr:colOff>349462</xdr:colOff>
      <xdr:row>34</xdr:row>
      <xdr:rowOff>208697</xdr:rowOff>
    </xdr:from>
    <xdr:to>
      <xdr:col>10</xdr:col>
      <xdr:colOff>122726</xdr:colOff>
      <xdr:row>35</xdr:row>
      <xdr:rowOff>137072</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rotWithShape="1">
        <a:blip xmlns:r="http://schemas.openxmlformats.org/officeDocument/2006/relationships" r:embed="rId1"/>
        <a:srcRect l="82234" t="19891" r="3755" b="56326"/>
        <a:stretch/>
      </xdr:blipFill>
      <xdr:spPr>
        <a:xfrm>
          <a:off x="7055062" y="8495447"/>
          <a:ext cx="506689" cy="499875"/>
        </a:xfrm>
        <a:prstGeom prst="rect">
          <a:avLst/>
        </a:prstGeom>
      </xdr:spPr>
    </xdr:pic>
    <xdr:clientData/>
  </xdr:twoCellAnchor>
  <xdr:twoCellAnchor editAs="oneCell">
    <xdr:from>
      <xdr:col>8</xdr:col>
      <xdr:colOff>559734</xdr:colOff>
      <xdr:row>49</xdr:row>
      <xdr:rowOff>44264</xdr:rowOff>
    </xdr:from>
    <xdr:to>
      <xdr:col>9</xdr:col>
      <xdr:colOff>247672</xdr:colOff>
      <xdr:row>51</xdr:row>
      <xdr:rowOff>172034</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1"/>
        <a:srcRect l="2839" t="19734" r="82967" b="56013"/>
        <a:stretch/>
      </xdr:blipFill>
      <xdr:spPr>
        <a:xfrm>
          <a:off x="6446184" y="12636314"/>
          <a:ext cx="507088" cy="508770"/>
        </a:xfrm>
        <a:prstGeom prst="rect">
          <a:avLst/>
        </a:prstGeom>
      </xdr:spPr>
    </xdr:pic>
    <xdr:clientData/>
  </xdr:twoCellAnchor>
  <xdr:twoCellAnchor editAs="oneCell">
    <xdr:from>
      <xdr:col>9</xdr:col>
      <xdr:colOff>313765</xdr:colOff>
      <xdr:row>49</xdr:row>
      <xdr:rowOff>44265</xdr:rowOff>
    </xdr:from>
    <xdr:to>
      <xdr:col>10</xdr:col>
      <xdr:colOff>92471</xdr:colOff>
      <xdr:row>51</xdr:row>
      <xdr:rowOff>172034</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rotWithShape="1">
        <a:blip xmlns:r="http://schemas.openxmlformats.org/officeDocument/2006/relationships" r:embed="rId1"/>
        <a:srcRect l="34707" t="19734" r="51373" b="56483"/>
        <a:stretch/>
      </xdr:blipFill>
      <xdr:spPr>
        <a:xfrm>
          <a:off x="7019365" y="12636315"/>
          <a:ext cx="512131" cy="508769"/>
        </a:xfrm>
        <a:prstGeom prst="rect">
          <a:avLst/>
        </a:prstGeom>
      </xdr:spPr>
    </xdr:pic>
    <xdr:clientData/>
  </xdr:twoCellAnchor>
  <xdr:twoCellAnchor editAs="oneCell">
    <xdr:from>
      <xdr:col>8</xdr:col>
      <xdr:colOff>559733</xdr:colOff>
      <xdr:row>51</xdr:row>
      <xdr:rowOff>249623</xdr:rowOff>
    </xdr:from>
    <xdr:to>
      <xdr:col>9</xdr:col>
      <xdr:colOff>247671</xdr:colOff>
      <xdr:row>52</xdr:row>
      <xdr:rowOff>114661</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rotWithShape="1">
        <a:blip xmlns:r="http://schemas.openxmlformats.org/officeDocument/2006/relationships" r:embed="rId1"/>
        <a:srcRect l="82234" t="19891" r="3755" b="56326"/>
        <a:stretch/>
      </xdr:blipFill>
      <xdr:spPr>
        <a:xfrm>
          <a:off x="6446183" y="13222673"/>
          <a:ext cx="507088" cy="503213"/>
        </a:xfrm>
        <a:prstGeom prst="rect">
          <a:avLst/>
        </a:prstGeom>
      </xdr:spPr>
    </xdr:pic>
    <xdr:clientData/>
  </xdr:twoCellAnchor>
  <xdr:twoCellAnchor editAs="oneCell">
    <xdr:from>
      <xdr:col>9</xdr:col>
      <xdr:colOff>324971</xdr:colOff>
      <xdr:row>51</xdr:row>
      <xdr:rowOff>243489</xdr:rowOff>
    </xdr:from>
    <xdr:to>
      <xdr:col>10</xdr:col>
      <xdr:colOff>103677</xdr:colOff>
      <xdr:row>52</xdr:row>
      <xdr:rowOff>111798</xdr:rowOff>
    </xdr:to>
    <xdr:pic>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srcRect l="50640" t="46960" r="35256" b="28944"/>
        <a:stretch/>
      </xdr:blipFill>
      <xdr:spPr>
        <a:xfrm>
          <a:off x="6678706" y="13186283"/>
          <a:ext cx="507088" cy="507044"/>
        </a:xfrm>
        <a:prstGeom prst="rect">
          <a:avLst/>
        </a:prstGeom>
      </xdr:spPr>
    </xdr:pic>
    <xdr:clientData/>
  </xdr:twoCellAnchor>
  <xdr:twoCellAnchor editAs="oneCell">
    <xdr:from>
      <xdr:col>9</xdr:col>
      <xdr:colOff>364545</xdr:colOff>
      <xdr:row>63</xdr:row>
      <xdr:rowOff>165845</xdr:rowOff>
    </xdr:from>
    <xdr:to>
      <xdr:col>10</xdr:col>
      <xdr:colOff>105356</xdr:colOff>
      <xdr:row>66</xdr:row>
      <xdr:rowOff>64107</xdr:rowOff>
    </xdr:to>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rotWithShape="1">
        <a:blip xmlns:r="http://schemas.openxmlformats.org/officeDocument/2006/relationships" r:embed="rId1"/>
        <a:srcRect l="34707" t="19734" r="51373" b="56483"/>
        <a:stretch/>
      </xdr:blipFill>
      <xdr:spPr>
        <a:xfrm>
          <a:off x="7070145" y="16796495"/>
          <a:ext cx="474236" cy="469762"/>
        </a:xfrm>
        <a:prstGeom prst="rect">
          <a:avLst/>
        </a:prstGeom>
      </xdr:spPr>
    </xdr:pic>
    <xdr:clientData/>
  </xdr:twoCellAnchor>
  <xdr:twoCellAnchor editAs="oneCell">
    <xdr:from>
      <xdr:col>8</xdr:col>
      <xdr:colOff>681104</xdr:colOff>
      <xdr:row>66</xdr:row>
      <xdr:rowOff>113740</xdr:rowOff>
    </xdr:from>
    <xdr:to>
      <xdr:col>9</xdr:col>
      <xdr:colOff>331715</xdr:colOff>
      <xdr:row>68</xdr:row>
      <xdr:rowOff>202502</xdr:rowOff>
    </xdr:to>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rotWithShape="1">
        <a:blip xmlns:r="http://schemas.openxmlformats.org/officeDocument/2006/relationships" r:embed="rId1"/>
        <a:srcRect l="50549" t="19735" r="35348" b="56168"/>
        <a:stretch/>
      </xdr:blipFill>
      <xdr:spPr>
        <a:xfrm>
          <a:off x="6567554" y="17315890"/>
          <a:ext cx="469761" cy="469762"/>
        </a:xfrm>
        <a:prstGeom prst="rect">
          <a:avLst/>
        </a:prstGeom>
      </xdr:spPr>
    </xdr:pic>
    <xdr:clientData/>
  </xdr:twoCellAnchor>
  <xdr:twoCellAnchor editAs="oneCell">
    <xdr:from>
      <xdr:col>9</xdr:col>
      <xdr:colOff>383595</xdr:colOff>
      <xdr:row>66</xdr:row>
      <xdr:rowOff>114300</xdr:rowOff>
    </xdr:from>
    <xdr:to>
      <xdr:col>10</xdr:col>
      <xdr:colOff>124406</xdr:colOff>
      <xdr:row>68</xdr:row>
      <xdr:rowOff>206133</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rotWithShape="1">
        <a:blip xmlns:r="http://schemas.openxmlformats.org/officeDocument/2006/relationships" r:embed="rId1"/>
        <a:srcRect l="66392" t="19735" r="19598" b="56168"/>
        <a:stretch/>
      </xdr:blipFill>
      <xdr:spPr>
        <a:xfrm>
          <a:off x="7089195" y="17316450"/>
          <a:ext cx="474236" cy="472833"/>
        </a:xfrm>
        <a:prstGeom prst="rect">
          <a:avLst/>
        </a:prstGeom>
      </xdr:spPr>
    </xdr:pic>
    <xdr:clientData/>
  </xdr:twoCellAnchor>
  <xdr:twoCellAnchor editAs="oneCell">
    <xdr:from>
      <xdr:col>8</xdr:col>
      <xdr:colOff>671579</xdr:colOff>
      <xdr:row>68</xdr:row>
      <xdr:rowOff>256735</xdr:rowOff>
    </xdr:from>
    <xdr:to>
      <xdr:col>9</xdr:col>
      <xdr:colOff>322190</xdr:colOff>
      <xdr:row>69</xdr:row>
      <xdr:rowOff>101892</xdr:rowOff>
    </xdr:to>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rotWithShape="1">
        <a:blip xmlns:r="http://schemas.openxmlformats.org/officeDocument/2006/relationships" r:embed="rId1"/>
        <a:srcRect l="18864" t="46960" r="67034" b="28787"/>
        <a:stretch/>
      </xdr:blipFill>
      <xdr:spPr>
        <a:xfrm>
          <a:off x="6558029" y="17839885"/>
          <a:ext cx="469761" cy="473807"/>
        </a:xfrm>
        <a:prstGeom prst="rect">
          <a:avLst/>
        </a:prstGeom>
      </xdr:spPr>
    </xdr:pic>
    <xdr:clientData/>
  </xdr:twoCellAnchor>
  <xdr:twoCellAnchor editAs="oneCell">
    <xdr:from>
      <xdr:col>9</xdr:col>
      <xdr:colOff>374070</xdr:colOff>
      <xdr:row>68</xdr:row>
      <xdr:rowOff>257623</xdr:rowOff>
    </xdr:from>
    <xdr:to>
      <xdr:col>10</xdr:col>
      <xdr:colOff>114880</xdr:colOff>
      <xdr:row>69</xdr:row>
      <xdr:rowOff>99687</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rotWithShape="1">
        <a:blip xmlns:r="http://schemas.openxmlformats.org/officeDocument/2006/relationships" r:embed="rId1"/>
        <a:srcRect l="50640" t="46960" r="35256" b="28944"/>
        <a:stretch/>
      </xdr:blipFill>
      <xdr:spPr>
        <a:xfrm>
          <a:off x="7079670" y="17840773"/>
          <a:ext cx="474235" cy="470714"/>
        </a:xfrm>
        <a:prstGeom prst="rect">
          <a:avLst/>
        </a:prstGeom>
      </xdr:spPr>
    </xdr:pic>
    <xdr:clientData/>
  </xdr:twoCellAnchor>
  <xdr:twoCellAnchor editAs="oneCell">
    <xdr:from>
      <xdr:col>9</xdr:col>
      <xdr:colOff>405092</xdr:colOff>
      <xdr:row>82</xdr:row>
      <xdr:rowOff>93277</xdr:rowOff>
    </xdr:from>
    <xdr:to>
      <xdr:col>10</xdr:col>
      <xdr:colOff>133350</xdr:colOff>
      <xdr:row>84</xdr:row>
      <xdr:rowOff>177620</xdr:rowOff>
    </xdr:to>
    <xdr:pic>
      <xdr:nvPicPr>
        <xdr:cNvPr id="22" name="Picture 21">
          <a:extLst>
            <a:ext uri="{FF2B5EF4-FFF2-40B4-BE49-F238E27FC236}">
              <a16:creationId xmlns:a16="http://schemas.microsoft.com/office/drawing/2014/main" id="{00000000-0008-0000-0400-000016000000}"/>
            </a:ext>
          </a:extLst>
        </xdr:cNvPr>
        <xdr:cNvPicPr>
          <a:picLocks noChangeAspect="1"/>
        </xdr:cNvPicPr>
      </xdr:nvPicPr>
      <xdr:blipFill rotWithShape="1">
        <a:blip xmlns:r="http://schemas.openxmlformats.org/officeDocument/2006/relationships" r:embed="rId1"/>
        <a:srcRect l="18864" t="46960" r="67034" b="28787"/>
        <a:stretch/>
      </xdr:blipFill>
      <xdr:spPr>
        <a:xfrm>
          <a:off x="7110692" y="21715027"/>
          <a:ext cx="461683" cy="465343"/>
        </a:xfrm>
        <a:prstGeom prst="rect">
          <a:avLst/>
        </a:prstGeom>
      </xdr:spPr>
    </xdr:pic>
    <xdr:clientData/>
  </xdr:twoCellAnchor>
  <xdr:twoCellAnchor editAs="oneCell">
    <xdr:from>
      <xdr:col>8</xdr:col>
      <xdr:colOff>709892</xdr:colOff>
      <xdr:row>85</xdr:row>
      <xdr:rowOff>24655</xdr:rowOff>
    </xdr:from>
    <xdr:to>
      <xdr:col>9</xdr:col>
      <xdr:colOff>352425</xdr:colOff>
      <xdr:row>86</xdr:row>
      <xdr:rowOff>18008</xdr:rowOff>
    </xdr:to>
    <xdr:pic>
      <xdr:nvPicPr>
        <xdr:cNvPr id="23" name="Picture 22">
          <a:extLst>
            <a:ext uri="{FF2B5EF4-FFF2-40B4-BE49-F238E27FC236}">
              <a16:creationId xmlns:a16="http://schemas.microsoft.com/office/drawing/2014/main" id="{00000000-0008-0000-0400-000017000000}"/>
            </a:ext>
          </a:extLst>
        </xdr:cNvPr>
        <xdr:cNvPicPr>
          <a:picLocks noChangeAspect="1"/>
        </xdr:cNvPicPr>
      </xdr:nvPicPr>
      <xdr:blipFill rotWithShape="1">
        <a:blip xmlns:r="http://schemas.openxmlformats.org/officeDocument/2006/relationships" r:embed="rId1"/>
        <a:srcRect l="34707" t="46960" r="51190" b="28944"/>
        <a:stretch/>
      </xdr:blipFill>
      <xdr:spPr>
        <a:xfrm>
          <a:off x="6596342" y="22217905"/>
          <a:ext cx="461683" cy="450553"/>
        </a:xfrm>
        <a:prstGeom prst="rect">
          <a:avLst/>
        </a:prstGeom>
      </xdr:spPr>
    </xdr:pic>
    <xdr:clientData/>
  </xdr:twoCellAnchor>
  <xdr:twoCellAnchor editAs="oneCell">
    <xdr:from>
      <xdr:col>9</xdr:col>
      <xdr:colOff>405092</xdr:colOff>
      <xdr:row>85</xdr:row>
      <xdr:rowOff>33059</xdr:rowOff>
    </xdr:from>
    <xdr:to>
      <xdr:col>10</xdr:col>
      <xdr:colOff>133350</xdr:colOff>
      <xdr:row>86</xdr:row>
      <xdr:rowOff>38200</xdr:rowOff>
    </xdr:to>
    <xdr:pic>
      <xdr:nvPicPr>
        <xdr:cNvPr id="25" name="Picture 24">
          <a:extLst>
            <a:ext uri="{FF2B5EF4-FFF2-40B4-BE49-F238E27FC236}">
              <a16:creationId xmlns:a16="http://schemas.microsoft.com/office/drawing/2014/main" id="{00000000-0008-0000-0400-000019000000}"/>
            </a:ext>
          </a:extLst>
        </xdr:cNvPr>
        <xdr:cNvPicPr>
          <a:picLocks noChangeAspect="1"/>
        </xdr:cNvPicPr>
      </xdr:nvPicPr>
      <xdr:blipFill rotWithShape="1">
        <a:blip xmlns:r="http://schemas.openxmlformats.org/officeDocument/2006/relationships" r:embed="rId1"/>
        <a:srcRect l="66575" t="47115" r="19414" b="28944"/>
        <a:stretch/>
      </xdr:blipFill>
      <xdr:spPr>
        <a:xfrm>
          <a:off x="7110692" y="22226309"/>
          <a:ext cx="461683" cy="462341"/>
        </a:xfrm>
        <a:prstGeom prst="rect">
          <a:avLst/>
        </a:prstGeom>
      </xdr:spPr>
    </xdr:pic>
    <xdr:clientData/>
  </xdr:twoCellAnchor>
  <xdr:twoCellAnchor editAs="oneCell">
    <xdr:from>
      <xdr:col>9</xdr:col>
      <xdr:colOff>390525</xdr:colOff>
      <xdr:row>99</xdr:row>
      <xdr:rowOff>130654</xdr:rowOff>
    </xdr:from>
    <xdr:to>
      <xdr:col>10</xdr:col>
      <xdr:colOff>94690</xdr:colOff>
      <xdr:row>101</xdr:row>
      <xdr:rowOff>187700</xdr:rowOff>
    </xdr:to>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rotWithShape="1">
        <a:blip xmlns:r="http://schemas.openxmlformats.org/officeDocument/2006/relationships" r:embed="rId1"/>
        <a:srcRect l="34707" t="19734" r="51373" b="56483"/>
        <a:stretch/>
      </xdr:blipFill>
      <xdr:spPr>
        <a:xfrm>
          <a:off x="7096125" y="26210104"/>
          <a:ext cx="437590" cy="438046"/>
        </a:xfrm>
        <a:prstGeom prst="rect">
          <a:avLst/>
        </a:prstGeom>
      </xdr:spPr>
    </xdr:pic>
    <xdr:clientData/>
  </xdr:twoCellAnchor>
  <xdr:twoCellAnchor editAs="oneCell">
    <xdr:from>
      <xdr:col>8</xdr:col>
      <xdr:colOff>714375</xdr:colOff>
      <xdr:row>102</xdr:row>
      <xdr:rowOff>71037</xdr:rowOff>
    </xdr:from>
    <xdr:to>
      <xdr:col>9</xdr:col>
      <xdr:colOff>332815</xdr:colOff>
      <xdr:row>102</xdr:row>
      <xdr:rowOff>509045</xdr:rowOff>
    </xdr:to>
    <xdr:pic>
      <xdr:nvPicPr>
        <xdr:cNvPr id="27" name="Picture 26">
          <a:extLst>
            <a:ext uri="{FF2B5EF4-FFF2-40B4-BE49-F238E27FC236}">
              <a16:creationId xmlns:a16="http://schemas.microsoft.com/office/drawing/2014/main" id="{00000000-0008-0000-0400-00001B000000}"/>
            </a:ext>
          </a:extLst>
        </xdr:cNvPr>
        <xdr:cNvPicPr>
          <a:picLocks noChangeAspect="1"/>
        </xdr:cNvPicPr>
      </xdr:nvPicPr>
      <xdr:blipFill rotWithShape="1">
        <a:blip xmlns:r="http://schemas.openxmlformats.org/officeDocument/2006/relationships" r:embed="rId1"/>
        <a:srcRect l="50640" t="46960" r="35256" b="28944"/>
        <a:stretch/>
      </xdr:blipFill>
      <xdr:spPr>
        <a:xfrm>
          <a:off x="6600825" y="26721987"/>
          <a:ext cx="437590" cy="438008"/>
        </a:xfrm>
        <a:prstGeom prst="rect">
          <a:avLst/>
        </a:prstGeom>
      </xdr:spPr>
    </xdr:pic>
    <xdr:clientData/>
  </xdr:twoCellAnchor>
  <xdr:twoCellAnchor editAs="oneCell">
    <xdr:from>
      <xdr:col>9</xdr:col>
      <xdr:colOff>419100</xdr:colOff>
      <xdr:row>102</xdr:row>
      <xdr:rowOff>58719</xdr:rowOff>
    </xdr:from>
    <xdr:to>
      <xdr:col>10</xdr:col>
      <xdr:colOff>123265</xdr:colOff>
      <xdr:row>102</xdr:row>
      <xdr:rowOff>496765</xdr:rowOff>
    </xdr:to>
    <xdr:pic>
      <xdr:nvPicPr>
        <xdr:cNvPr id="28" name="Picture 27">
          <a:extLst>
            <a:ext uri="{FF2B5EF4-FFF2-40B4-BE49-F238E27FC236}">
              <a16:creationId xmlns:a16="http://schemas.microsoft.com/office/drawing/2014/main" id="{00000000-0008-0000-0400-00001C000000}"/>
            </a:ext>
          </a:extLst>
        </xdr:cNvPr>
        <xdr:cNvPicPr>
          <a:picLocks noChangeAspect="1"/>
        </xdr:cNvPicPr>
      </xdr:nvPicPr>
      <xdr:blipFill rotWithShape="1">
        <a:blip xmlns:r="http://schemas.openxmlformats.org/officeDocument/2006/relationships" r:embed="rId1"/>
        <a:srcRect l="66575" t="47115" r="19414" b="28944"/>
        <a:stretch/>
      </xdr:blipFill>
      <xdr:spPr>
        <a:xfrm>
          <a:off x="7124700" y="26709669"/>
          <a:ext cx="437590" cy="438046"/>
        </a:xfrm>
        <a:prstGeom prst="rect">
          <a:avLst/>
        </a:prstGeom>
      </xdr:spPr>
    </xdr:pic>
    <xdr:clientData/>
  </xdr:twoCellAnchor>
  <xdr:twoCellAnchor editAs="oneCell">
    <xdr:from>
      <xdr:col>9</xdr:col>
      <xdr:colOff>386042</xdr:colOff>
      <xdr:row>116</xdr:row>
      <xdr:rowOff>111027</xdr:rowOff>
    </xdr:from>
    <xdr:to>
      <xdr:col>10</xdr:col>
      <xdr:colOff>114300</xdr:colOff>
      <xdr:row>119</xdr:row>
      <xdr:rowOff>1681</xdr:rowOff>
    </xdr:to>
    <xdr:pic>
      <xdr:nvPicPr>
        <xdr:cNvPr id="29" name="Picture 28">
          <a:extLst>
            <a:ext uri="{FF2B5EF4-FFF2-40B4-BE49-F238E27FC236}">
              <a16:creationId xmlns:a16="http://schemas.microsoft.com/office/drawing/2014/main" id="{00000000-0008-0000-0400-00001D000000}"/>
            </a:ext>
          </a:extLst>
        </xdr:cNvPr>
        <xdr:cNvPicPr>
          <a:picLocks noChangeAspect="1"/>
        </xdr:cNvPicPr>
      </xdr:nvPicPr>
      <xdr:blipFill rotWithShape="1">
        <a:blip xmlns:r="http://schemas.openxmlformats.org/officeDocument/2006/relationships" r:embed="rId1"/>
        <a:srcRect l="34707" t="19734" r="51373" b="56483"/>
        <a:stretch/>
      </xdr:blipFill>
      <xdr:spPr>
        <a:xfrm>
          <a:off x="7091642" y="30686277"/>
          <a:ext cx="461683" cy="462154"/>
        </a:xfrm>
        <a:prstGeom prst="rect">
          <a:avLst/>
        </a:prstGeom>
      </xdr:spPr>
    </xdr:pic>
    <xdr:clientData/>
  </xdr:twoCellAnchor>
  <xdr:twoCellAnchor editAs="oneCell">
    <xdr:from>
      <xdr:col>8</xdr:col>
      <xdr:colOff>719417</xdr:colOff>
      <xdr:row>119</xdr:row>
      <xdr:rowOff>54772</xdr:rowOff>
    </xdr:from>
    <xdr:to>
      <xdr:col>9</xdr:col>
      <xdr:colOff>361950</xdr:colOff>
      <xdr:row>120</xdr:row>
      <xdr:rowOff>78736</xdr:rowOff>
    </xdr:to>
    <xdr:pic>
      <xdr:nvPicPr>
        <xdr:cNvPr id="30" name="Picture 29">
          <a:extLst>
            <a:ext uri="{FF2B5EF4-FFF2-40B4-BE49-F238E27FC236}">
              <a16:creationId xmlns:a16="http://schemas.microsoft.com/office/drawing/2014/main" id="{00000000-0008-0000-0400-00001E000000}"/>
            </a:ext>
          </a:extLst>
        </xdr:cNvPr>
        <xdr:cNvPicPr>
          <a:picLocks noChangeAspect="1"/>
        </xdr:cNvPicPr>
      </xdr:nvPicPr>
      <xdr:blipFill rotWithShape="1">
        <a:blip xmlns:r="http://schemas.openxmlformats.org/officeDocument/2006/relationships" r:embed="rId1"/>
        <a:srcRect l="50640" t="46960" r="35256" b="28944"/>
        <a:stretch/>
      </xdr:blipFill>
      <xdr:spPr>
        <a:xfrm>
          <a:off x="6605867" y="31201522"/>
          <a:ext cx="461683" cy="462114"/>
        </a:xfrm>
        <a:prstGeom prst="rect">
          <a:avLst/>
        </a:prstGeom>
      </xdr:spPr>
    </xdr:pic>
    <xdr:clientData/>
  </xdr:twoCellAnchor>
  <xdr:twoCellAnchor editAs="oneCell">
    <xdr:from>
      <xdr:col>9</xdr:col>
      <xdr:colOff>405092</xdr:colOff>
      <xdr:row>119</xdr:row>
      <xdr:rowOff>53661</xdr:rowOff>
    </xdr:from>
    <xdr:to>
      <xdr:col>10</xdr:col>
      <xdr:colOff>133350</xdr:colOff>
      <xdr:row>120</xdr:row>
      <xdr:rowOff>77665</xdr:rowOff>
    </xdr:to>
    <xdr:pic>
      <xdr:nvPicPr>
        <xdr:cNvPr id="31" name="Picture 30">
          <a:extLst>
            <a:ext uri="{FF2B5EF4-FFF2-40B4-BE49-F238E27FC236}">
              <a16:creationId xmlns:a16="http://schemas.microsoft.com/office/drawing/2014/main" id="{00000000-0008-0000-0400-00001F000000}"/>
            </a:ext>
          </a:extLst>
        </xdr:cNvPr>
        <xdr:cNvPicPr>
          <a:picLocks noChangeAspect="1"/>
        </xdr:cNvPicPr>
      </xdr:nvPicPr>
      <xdr:blipFill rotWithShape="1">
        <a:blip xmlns:r="http://schemas.openxmlformats.org/officeDocument/2006/relationships" r:embed="rId1"/>
        <a:srcRect l="66575" t="47115" r="19414" b="28944"/>
        <a:stretch/>
      </xdr:blipFill>
      <xdr:spPr>
        <a:xfrm>
          <a:off x="7110692" y="31200411"/>
          <a:ext cx="461683" cy="462154"/>
        </a:xfrm>
        <a:prstGeom prst="rect">
          <a:avLst/>
        </a:prstGeom>
      </xdr:spPr>
    </xdr:pic>
    <xdr:clientData/>
  </xdr:twoCellAnchor>
  <xdr:twoCellAnchor editAs="oneCell">
    <xdr:from>
      <xdr:col>9</xdr:col>
      <xdr:colOff>376517</xdr:colOff>
      <xdr:row>130</xdr:row>
      <xdr:rowOff>76763</xdr:rowOff>
    </xdr:from>
    <xdr:to>
      <xdr:col>10</xdr:col>
      <xdr:colOff>115733</xdr:colOff>
      <xdr:row>132</xdr:row>
      <xdr:rowOff>168868</xdr:rowOff>
    </xdr:to>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rotWithShape="1">
        <a:blip xmlns:r="http://schemas.openxmlformats.org/officeDocument/2006/relationships" r:embed="rId1"/>
        <a:srcRect l="2839" t="19734" r="82967" b="56013"/>
        <a:stretch/>
      </xdr:blipFill>
      <xdr:spPr>
        <a:xfrm>
          <a:off x="7082117" y="36481313"/>
          <a:ext cx="472641" cy="473105"/>
        </a:xfrm>
        <a:prstGeom prst="rect">
          <a:avLst/>
        </a:prstGeom>
      </xdr:spPr>
    </xdr:pic>
    <xdr:clientData/>
  </xdr:twoCellAnchor>
  <xdr:twoCellAnchor editAs="oneCell">
    <xdr:from>
      <xdr:col>8</xdr:col>
      <xdr:colOff>652742</xdr:colOff>
      <xdr:row>133</xdr:row>
      <xdr:rowOff>43195</xdr:rowOff>
    </xdr:from>
    <xdr:to>
      <xdr:col>9</xdr:col>
      <xdr:colOff>306232</xdr:colOff>
      <xdr:row>135</xdr:row>
      <xdr:rowOff>139299</xdr:rowOff>
    </xdr:to>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rotWithShape="1">
        <a:blip xmlns:r="http://schemas.openxmlformats.org/officeDocument/2006/relationships" r:embed="rId1"/>
        <a:srcRect l="18864" t="46960" r="67034" b="28787"/>
        <a:stretch/>
      </xdr:blipFill>
      <xdr:spPr>
        <a:xfrm>
          <a:off x="6539192" y="37019245"/>
          <a:ext cx="472640" cy="477104"/>
        </a:xfrm>
        <a:prstGeom prst="rect">
          <a:avLst/>
        </a:prstGeom>
      </xdr:spPr>
    </xdr:pic>
    <xdr:clientData/>
  </xdr:twoCellAnchor>
  <xdr:twoCellAnchor editAs="oneCell">
    <xdr:from>
      <xdr:col>9</xdr:col>
      <xdr:colOff>376518</xdr:colOff>
      <xdr:row>133</xdr:row>
      <xdr:rowOff>39007</xdr:rowOff>
    </xdr:from>
    <xdr:to>
      <xdr:col>10</xdr:col>
      <xdr:colOff>115733</xdr:colOff>
      <xdr:row>135</xdr:row>
      <xdr:rowOff>131110</xdr:rowOff>
    </xdr:to>
    <xdr:pic>
      <xdr:nvPicPr>
        <xdr:cNvPr id="34" name="Picture 33">
          <a:extLst>
            <a:ext uri="{FF2B5EF4-FFF2-40B4-BE49-F238E27FC236}">
              <a16:creationId xmlns:a16="http://schemas.microsoft.com/office/drawing/2014/main" id="{00000000-0008-0000-0400-000022000000}"/>
            </a:ext>
          </a:extLst>
        </xdr:cNvPr>
        <xdr:cNvPicPr>
          <a:picLocks noChangeAspect="1"/>
        </xdr:cNvPicPr>
      </xdr:nvPicPr>
      <xdr:blipFill rotWithShape="1">
        <a:blip xmlns:r="http://schemas.openxmlformats.org/officeDocument/2006/relationships" r:embed="rId1"/>
        <a:srcRect l="34707" t="46960" r="51190" b="28944"/>
        <a:stretch/>
      </xdr:blipFill>
      <xdr:spPr>
        <a:xfrm>
          <a:off x="7082118" y="37015057"/>
          <a:ext cx="472640" cy="473103"/>
        </a:xfrm>
        <a:prstGeom prst="rect">
          <a:avLst/>
        </a:prstGeom>
      </xdr:spPr>
    </xdr:pic>
    <xdr:clientData/>
  </xdr:twoCellAnchor>
  <xdr:twoCellAnchor editAs="oneCell">
    <xdr:from>
      <xdr:col>8</xdr:col>
      <xdr:colOff>652742</xdr:colOff>
      <xdr:row>135</xdr:row>
      <xdr:rowOff>186922</xdr:rowOff>
    </xdr:from>
    <xdr:to>
      <xdr:col>9</xdr:col>
      <xdr:colOff>306233</xdr:colOff>
      <xdr:row>137</xdr:row>
      <xdr:rowOff>107535</xdr:rowOff>
    </xdr:to>
    <xdr:pic>
      <xdr:nvPicPr>
        <xdr:cNvPr id="35" name="Picture 34">
          <a:extLst>
            <a:ext uri="{FF2B5EF4-FFF2-40B4-BE49-F238E27FC236}">
              <a16:creationId xmlns:a16="http://schemas.microsoft.com/office/drawing/2014/main" id="{00000000-0008-0000-0400-000023000000}"/>
            </a:ext>
          </a:extLst>
        </xdr:cNvPr>
        <xdr:cNvPicPr>
          <a:picLocks noChangeAspect="1"/>
        </xdr:cNvPicPr>
      </xdr:nvPicPr>
      <xdr:blipFill rotWithShape="1">
        <a:blip xmlns:r="http://schemas.openxmlformats.org/officeDocument/2006/relationships" r:embed="rId1"/>
        <a:srcRect l="50640" t="46960" r="35256" b="28944"/>
        <a:stretch/>
      </xdr:blipFill>
      <xdr:spPr>
        <a:xfrm>
          <a:off x="6539192" y="37543972"/>
          <a:ext cx="472641" cy="473063"/>
        </a:xfrm>
        <a:prstGeom prst="rect">
          <a:avLst/>
        </a:prstGeom>
      </xdr:spPr>
    </xdr:pic>
    <xdr:clientData/>
  </xdr:twoCellAnchor>
  <xdr:twoCellAnchor editAs="oneCell">
    <xdr:from>
      <xdr:col>9</xdr:col>
      <xdr:colOff>376518</xdr:colOff>
      <xdr:row>136</xdr:row>
      <xdr:rowOff>3147</xdr:rowOff>
    </xdr:from>
    <xdr:to>
      <xdr:col>10</xdr:col>
      <xdr:colOff>115733</xdr:colOff>
      <xdr:row>137</xdr:row>
      <xdr:rowOff>114301</xdr:rowOff>
    </xdr:to>
    <xdr:pic>
      <xdr:nvPicPr>
        <xdr:cNvPr id="36" name="Picture 35">
          <a:extLst>
            <a:ext uri="{FF2B5EF4-FFF2-40B4-BE49-F238E27FC236}">
              <a16:creationId xmlns:a16="http://schemas.microsoft.com/office/drawing/2014/main" id="{00000000-0008-0000-0400-000024000000}"/>
            </a:ext>
          </a:extLst>
        </xdr:cNvPr>
        <xdr:cNvPicPr>
          <a:picLocks noChangeAspect="1"/>
        </xdr:cNvPicPr>
      </xdr:nvPicPr>
      <xdr:blipFill rotWithShape="1">
        <a:blip xmlns:r="http://schemas.openxmlformats.org/officeDocument/2006/relationships" r:embed="rId1"/>
        <a:srcRect l="66575" t="47115" r="19414" b="28944"/>
        <a:stretch/>
      </xdr:blipFill>
      <xdr:spPr>
        <a:xfrm>
          <a:off x="7082118" y="37550697"/>
          <a:ext cx="472640" cy="473104"/>
        </a:xfrm>
        <a:prstGeom prst="rect">
          <a:avLst/>
        </a:prstGeom>
      </xdr:spPr>
    </xdr:pic>
    <xdr:clientData/>
  </xdr:twoCellAnchor>
  <xdr:twoCellAnchor editAs="oneCell">
    <xdr:from>
      <xdr:col>9</xdr:col>
      <xdr:colOff>325525</xdr:colOff>
      <xdr:row>150</xdr:row>
      <xdr:rowOff>57150</xdr:rowOff>
    </xdr:from>
    <xdr:to>
      <xdr:col>10</xdr:col>
      <xdr:colOff>75079</xdr:colOff>
      <xdr:row>152</xdr:row>
      <xdr:rowOff>154643</xdr:rowOff>
    </xdr:to>
    <xdr:pic>
      <xdr:nvPicPr>
        <xdr:cNvPr id="37" name="Picture 36">
          <a:extLst>
            <a:ext uri="{FF2B5EF4-FFF2-40B4-BE49-F238E27FC236}">
              <a16:creationId xmlns:a16="http://schemas.microsoft.com/office/drawing/2014/main" id="{00000000-0008-0000-0400-000025000000}"/>
            </a:ext>
          </a:extLst>
        </xdr:cNvPr>
        <xdr:cNvPicPr>
          <a:picLocks noChangeAspect="1"/>
        </xdr:cNvPicPr>
      </xdr:nvPicPr>
      <xdr:blipFill rotWithShape="1">
        <a:blip xmlns:r="http://schemas.openxmlformats.org/officeDocument/2006/relationships" r:embed="rId1"/>
        <a:srcRect l="34707" t="19734" r="51373" b="56483"/>
        <a:stretch/>
      </xdr:blipFill>
      <xdr:spPr>
        <a:xfrm>
          <a:off x="7031125" y="41243250"/>
          <a:ext cx="482979" cy="478493"/>
        </a:xfrm>
        <a:prstGeom prst="rect">
          <a:avLst/>
        </a:prstGeom>
      </xdr:spPr>
    </xdr:pic>
    <xdr:clientData/>
  </xdr:twoCellAnchor>
  <xdr:twoCellAnchor editAs="oneCell">
    <xdr:from>
      <xdr:col>8</xdr:col>
      <xdr:colOff>604680</xdr:colOff>
      <xdr:row>152</xdr:row>
      <xdr:rowOff>184397</xdr:rowOff>
    </xdr:from>
    <xdr:to>
      <xdr:col>9</xdr:col>
      <xdr:colOff>265019</xdr:colOff>
      <xdr:row>154</xdr:row>
      <xdr:rowOff>27441</xdr:rowOff>
    </xdr:to>
    <xdr:pic>
      <xdr:nvPicPr>
        <xdr:cNvPr id="40" name="Picture 39">
          <a:extLst>
            <a:ext uri="{FF2B5EF4-FFF2-40B4-BE49-F238E27FC236}">
              <a16:creationId xmlns:a16="http://schemas.microsoft.com/office/drawing/2014/main" id="{00000000-0008-0000-0400-000028000000}"/>
            </a:ext>
          </a:extLst>
        </xdr:cNvPr>
        <xdr:cNvPicPr>
          <a:picLocks noChangeAspect="1"/>
        </xdr:cNvPicPr>
      </xdr:nvPicPr>
      <xdr:blipFill rotWithShape="1">
        <a:blip xmlns:r="http://schemas.openxmlformats.org/officeDocument/2006/relationships" r:embed="rId1"/>
        <a:srcRect l="66575" t="47115" r="19414" b="28944"/>
        <a:stretch/>
      </xdr:blipFill>
      <xdr:spPr>
        <a:xfrm>
          <a:off x="6491130" y="40056047"/>
          <a:ext cx="479489" cy="471694"/>
        </a:xfrm>
        <a:prstGeom prst="rect">
          <a:avLst/>
        </a:prstGeom>
      </xdr:spPr>
    </xdr:pic>
    <xdr:clientData/>
  </xdr:twoCellAnchor>
  <xdr:twoCellAnchor editAs="oneCell">
    <xdr:from>
      <xdr:col>9</xdr:col>
      <xdr:colOff>325525</xdr:colOff>
      <xdr:row>153</xdr:row>
      <xdr:rowOff>3571</xdr:rowOff>
    </xdr:from>
    <xdr:to>
      <xdr:col>10</xdr:col>
      <xdr:colOff>75079</xdr:colOff>
      <xdr:row>154</xdr:row>
      <xdr:rowOff>27799</xdr:rowOff>
    </xdr:to>
    <xdr:pic>
      <xdr:nvPicPr>
        <xdr:cNvPr id="41" name="Picture 40">
          <a:extLst>
            <a:ext uri="{FF2B5EF4-FFF2-40B4-BE49-F238E27FC236}">
              <a16:creationId xmlns:a16="http://schemas.microsoft.com/office/drawing/2014/main" id="{00000000-0008-0000-0400-000029000000}"/>
            </a:ext>
          </a:extLst>
        </xdr:cNvPr>
        <xdr:cNvPicPr>
          <a:picLocks noChangeAspect="1"/>
        </xdr:cNvPicPr>
      </xdr:nvPicPr>
      <xdr:blipFill rotWithShape="1">
        <a:blip xmlns:r="http://schemas.openxmlformats.org/officeDocument/2006/relationships" r:embed="rId1"/>
        <a:srcRect l="50641" t="74341" r="35348" b="2031"/>
        <a:stretch/>
      </xdr:blipFill>
      <xdr:spPr>
        <a:xfrm>
          <a:off x="7031125" y="41761171"/>
          <a:ext cx="482979" cy="462378"/>
        </a:xfrm>
        <a:prstGeom prst="rect">
          <a:avLst/>
        </a:prstGeom>
      </xdr:spPr>
    </xdr:pic>
    <xdr:clientData/>
  </xdr:twoCellAnchor>
  <xdr:twoCellAnchor editAs="oneCell">
    <xdr:from>
      <xdr:col>8</xdr:col>
      <xdr:colOff>677369</xdr:colOff>
      <xdr:row>170</xdr:row>
      <xdr:rowOff>4847</xdr:rowOff>
    </xdr:from>
    <xdr:to>
      <xdr:col>9</xdr:col>
      <xdr:colOff>328892</xdr:colOff>
      <xdr:row>171</xdr:row>
      <xdr:rowOff>115372</xdr:rowOff>
    </xdr:to>
    <xdr:pic>
      <xdr:nvPicPr>
        <xdr:cNvPr id="42" name="Picture 41">
          <a:extLst>
            <a:ext uri="{FF2B5EF4-FFF2-40B4-BE49-F238E27FC236}">
              <a16:creationId xmlns:a16="http://schemas.microsoft.com/office/drawing/2014/main" id="{00000000-0008-0000-0400-00002A000000}"/>
            </a:ext>
          </a:extLst>
        </xdr:cNvPr>
        <xdr:cNvPicPr>
          <a:picLocks noChangeAspect="1"/>
        </xdr:cNvPicPr>
      </xdr:nvPicPr>
      <xdr:blipFill rotWithShape="1">
        <a:blip xmlns:r="http://schemas.openxmlformats.org/officeDocument/2006/relationships" r:embed="rId1"/>
        <a:srcRect l="50640" t="46960" r="35256" b="28944"/>
        <a:stretch/>
      </xdr:blipFill>
      <xdr:spPr>
        <a:xfrm>
          <a:off x="6563819" y="46162997"/>
          <a:ext cx="470673" cy="472475"/>
        </a:xfrm>
        <a:prstGeom prst="rect">
          <a:avLst/>
        </a:prstGeom>
      </xdr:spPr>
    </xdr:pic>
    <xdr:clientData/>
  </xdr:twoCellAnchor>
  <xdr:twoCellAnchor editAs="oneCell">
    <xdr:from>
      <xdr:col>9</xdr:col>
      <xdr:colOff>371587</xdr:colOff>
      <xdr:row>170</xdr:row>
      <xdr:rowOff>18348</xdr:rowOff>
    </xdr:from>
    <xdr:to>
      <xdr:col>10</xdr:col>
      <xdr:colOff>112060</xdr:colOff>
      <xdr:row>171</xdr:row>
      <xdr:rowOff>110157</xdr:rowOff>
    </xdr:to>
    <xdr:pic>
      <xdr:nvPicPr>
        <xdr:cNvPr id="43" name="Picture 42">
          <a:extLst>
            <a:ext uri="{FF2B5EF4-FFF2-40B4-BE49-F238E27FC236}">
              <a16:creationId xmlns:a16="http://schemas.microsoft.com/office/drawing/2014/main" id="{00000000-0008-0000-0400-00002B000000}"/>
            </a:ext>
          </a:extLst>
        </xdr:cNvPr>
        <xdr:cNvPicPr>
          <a:picLocks noChangeAspect="1"/>
        </xdr:cNvPicPr>
      </xdr:nvPicPr>
      <xdr:blipFill rotWithShape="1">
        <a:blip xmlns:r="http://schemas.openxmlformats.org/officeDocument/2006/relationships" r:embed="rId1"/>
        <a:srcRect l="50641" t="74341" r="35348" b="2031"/>
        <a:stretch/>
      </xdr:blipFill>
      <xdr:spPr>
        <a:xfrm>
          <a:off x="7077187" y="46176498"/>
          <a:ext cx="473898" cy="453759"/>
        </a:xfrm>
        <a:prstGeom prst="rect">
          <a:avLst/>
        </a:prstGeom>
      </xdr:spPr>
    </xdr:pic>
    <xdr:clientData/>
  </xdr:twoCellAnchor>
  <xdr:twoCellAnchor editAs="oneCell">
    <xdr:from>
      <xdr:col>9</xdr:col>
      <xdr:colOff>371587</xdr:colOff>
      <xdr:row>167</xdr:row>
      <xdr:rowOff>105439</xdr:rowOff>
    </xdr:from>
    <xdr:to>
      <xdr:col>10</xdr:col>
      <xdr:colOff>112060</xdr:colOff>
      <xdr:row>169</xdr:row>
      <xdr:rowOff>164543</xdr:rowOff>
    </xdr:to>
    <xdr:pic>
      <xdr:nvPicPr>
        <xdr:cNvPr id="44" name="Picture 43">
          <a:extLst>
            <a:ext uri="{FF2B5EF4-FFF2-40B4-BE49-F238E27FC236}">
              <a16:creationId xmlns:a16="http://schemas.microsoft.com/office/drawing/2014/main" id="{00000000-0008-0000-0400-00002C000000}"/>
            </a:ext>
          </a:extLst>
        </xdr:cNvPr>
        <xdr:cNvPicPr>
          <a:picLocks noChangeAspect="1"/>
        </xdr:cNvPicPr>
      </xdr:nvPicPr>
      <xdr:blipFill rotWithShape="1">
        <a:blip xmlns:r="http://schemas.openxmlformats.org/officeDocument/2006/relationships" r:embed="rId1"/>
        <a:srcRect l="66392" t="19735" r="19598" b="56168"/>
        <a:stretch/>
      </xdr:blipFill>
      <xdr:spPr>
        <a:xfrm>
          <a:off x="7077187" y="45663514"/>
          <a:ext cx="473898" cy="468679"/>
        </a:xfrm>
        <a:prstGeom prst="rect">
          <a:avLst/>
        </a:prstGeom>
      </xdr:spPr>
    </xdr:pic>
    <xdr:clientData/>
  </xdr:twoCellAnchor>
  <xdr:twoCellAnchor editAs="oneCell">
    <xdr:from>
      <xdr:col>8</xdr:col>
      <xdr:colOff>677369</xdr:colOff>
      <xdr:row>167</xdr:row>
      <xdr:rowOff>95250</xdr:rowOff>
    </xdr:from>
    <xdr:to>
      <xdr:col>9</xdr:col>
      <xdr:colOff>328892</xdr:colOff>
      <xdr:row>169</xdr:row>
      <xdr:rowOff>151283</xdr:rowOff>
    </xdr:to>
    <xdr:pic>
      <xdr:nvPicPr>
        <xdr:cNvPr id="45" name="Picture 44">
          <a:extLst>
            <a:ext uri="{FF2B5EF4-FFF2-40B4-BE49-F238E27FC236}">
              <a16:creationId xmlns:a16="http://schemas.microsoft.com/office/drawing/2014/main" id="{00000000-0008-0000-0400-00002D000000}"/>
            </a:ext>
          </a:extLst>
        </xdr:cNvPr>
        <xdr:cNvPicPr>
          <a:picLocks noChangeAspect="1"/>
        </xdr:cNvPicPr>
      </xdr:nvPicPr>
      <xdr:blipFill rotWithShape="1">
        <a:blip xmlns:r="http://schemas.openxmlformats.org/officeDocument/2006/relationships" r:embed="rId1"/>
        <a:srcRect l="2839" t="19734" r="82967" b="56013"/>
        <a:stretch/>
      </xdr:blipFill>
      <xdr:spPr>
        <a:xfrm>
          <a:off x="6563819" y="45653325"/>
          <a:ext cx="470673" cy="465608"/>
        </a:xfrm>
        <a:prstGeom prst="rect">
          <a:avLst/>
        </a:prstGeom>
      </xdr:spPr>
    </xdr:pic>
    <xdr:clientData/>
  </xdr:twoCellAnchor>
  <xdr:twoCellAnchor editAs="oneCell">
    <xdr:from>
      <xdr:col>9</xdr:col>
      <xdr:colOff>334546</xdr:colOff>
      <xdr:row>187</xdr:row>
      <xdr:rowOff>3923</xdr:rowOff>
    </xdr:from>
    <xdr:to>
      <xdr:col>10</xdr:col>
      <xdr:colOff>95811</xdr:colOff>
      <xdr:row>188</xdr:row>
      <xdr:rowOff>104775</xdr:rowOff>
    </xdr:to>
    <xdr:pic>
      <xdr:nvPicPr>
        <xdr:cNvPr id="46" name="Picture 45">
          <a:extLst>
            <a:ext uri="{FF2B5EF4-FFF2-40B4-BE49-F238E27FC236}">
              <a16:creationId xmlns:a16="http://schemas.microsoft.com/office/drawing/2014/main" id="{00000000-0008-0000-0400-00002E000000}"/>
            </a:ext>
          </a:extLst>
        </xdr:cNvPr>
        <xdr:cNvPicPr>
          <a:picLocks noChangeAspect="1"/>
        </xdr:cNvPicPr>
      </xdr:nvPicPr>
      <xdr:blipFill rotWithShape="1">
        <a:blip xmlns:r="http://schemas.openxmlformats.org/officeDocument/2006/relationships" r:embed="rId1"/>
        <a:srcRect l="50641" t="74341" r="35348" b="2031"/>
        <a:stretch/>
      </xdr:blipFill>
      <xdr:spPr>
        <a:xfrm>
          <a:off x="7040146" y="48867173"/>
          <a:ext cx="494690" cy="472327"/>
        </a:xfrm>
        <a:prstGeom prst="rect">
          <a:avLst/>
        </a:prstGeom>
      </xdr:spPr>
    </xdr:pic>
    <xdr:clientData/>
  </xdr:twoCellAnchor>
  <xdr:twoCellAnchor editAs="oneCell">
    <xdr:from>
      <xdr:col>8</xdr:col>
      <xdr:colOff>599565</xdr:colOff>
      <xdr:row>187</xdr:row>
      <xdr:rowOff>1681</xdr:rowOff>
    </xdr:from>
    <xdr:to>
      <xdr:col>9</xdr:col>
      <xdr:colOff>275105</xdr:colOff>
      <xdr:row>188</xdr:row>
      <xdr:rowOff>100611</xdr:rowOff>
    </xdr:to>
    <xdr:pic>
      <xdr:nvPicPr>
        <xdr:cNvPr id="47" name="Picture 46">
          <a:extLst>
            <a:ext uri="{FF2B5EF4-FFF2-40B4-BE49-F238E27FC236}">
              <a16:creationId xmlns:a16="http://schemas.microsoft.com/office/drawing/2014/main" id="{00000000-0008-0000-0400-00002F000000}"/>
            </a:ext>
          </a:extLst>
        </xdr:cNvPr>
        <xdr:cNvPicPr>
          <a:picLocks noChangeAspect="1"/>
        </xdr:cNvPicPr>
      </xdr:nvPicPr>
      <xdr:blipFill rotWithShape="1">
        <a:blip xmlns:r="http://schemas.openxmlformats.org/officeDocument/2006/relationships" r:embed="rId1"/>
        <a:srcRect l="50640" t="46960" r="35256" b="28944"/>
        <a:stretch/>
      </xdr:blipFill>
      <xdr:spPr>
        <a:xfrm>
          <a:off x="6486015" y="48864931"/>
          <a:ext cx="494690" cy="470405"/>
        </a:xfrm>
        <a:prstGeom prst="rect">
          <a:avLst/>
        </a:prstGeom>
      </xdr:spPr>
    </xdr:pic>
    <xdr:clientData/>
  </xdr:twoCellAnchor>
  <xdr:twoCellAnchor editAs="oneCell">
    <xdr:from>
      <xdr:col>8</xdr:col>
      <xdr:colOff>709892</xdr:colOff>
      <xdr:row>82</xdr:row>
      <xdr:rowOff>86847</xdr:rowOff>
    </xdr:from>
    <xdr:to>
      <xdr:col>9</xdr:col>
      <xdr:colOff>352425</xdr:colOff>
      <xdr:row>84</xdr:row>
      <xdr:rowOff>158583</xdr:rowOff>
    </xdr:to>
    <xdr:pic>
      <xdr:nvPicPr>
        <xdr:cNvPr id="49" name="Picture 48">
          <a:extLst>
            <a:ext uri="{FF2B5EF4-FFF2-40B4-BE49-F238E27FC236}">
              <a16:creationId xmlns:a16="http://schemas.microsoft.com/office/drawing/2014/main" id="{00000000-0008-0000-0400-000031000000}"/>
            </a:ext>
          </a:extLst>
        </xdr:cNvPr>
        <xdr:cNvPicPr>
          <a:picLocks noChangeAspect="1"/>
        </xdr:cNvPicPr>
      </xdr:nvPicPr>
      <xdr:blipFill rotWithShape="1">
        <a:blip xmlns:r="http://schemas.openxmlformats.org/officeDocument/2006/relationships" r:embed="rId1"/>
        <a:srcRect l="2931" t="47117" r="83058" b="29100"/>
        <a:stretch/>
      </xdr:blipFill>
      <xdr:spPr>
        <a:xfrm>
          <a:off x="6596342" y="21708597"/>
          <a:ext cx="461683" cy="4527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34924</xdr:colOff>
      <xdr:row>13</xdr:row>
      <xdr:rowOff>28574</xdr:rowOff>
    </xdr:from>
    <xdr:to>
      <xdr:col>15</xdr:col>
      <xdr:colOff>63500</xdr:colOff>
      <xdr:row>37</xdr:row>
      <xdr:rowOff>76200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53974</xdr:colOff>
      <xdr:row>15</xdr:row>
      <xdr:rowOff>60324</xdr:rowOff>
    </xdr:from>
    <xdr:to>
      <xdr:col>15</xdr:col>
      <xdr:colOff>82550</xdr:colOff>
      <xdr:row>39</xdr:row>
      <xdr:rowOff>107950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15</xdr:col>
      <xdr:colOff>574675</xdr:colOff>
      <xdr:row>11</xdr:row>
      <xdr:rowOff>58737</xdr:rowOff>
    </xdr:from>
    <xdr:to>
      <xdr:col>28</xdr:col>
      <xdr:colOff>46037</xdr:colOff>
      <xdr:row>40</xdr:row>
      <xdr:rowOff>3175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25400</xdr:colOff>
      <xdr:row>17</xdr:row>
      <xdr:rowOff>38099</xdr:rowOff>
    </xdr:from>
    <xdr:to>
      <xdr:col>25</xdr:col>
      <xdr:colOff>444501</xdr:colOff>
      <xdr:row>34</xdr:row>
      <xdr:rowOff>163512</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412750</xdr:colOff>
      <xdr:row>3</xdr:row>
      <xdr:rowOff>171799</xdr:rowOff>
    </xdr:from>
    <xdr:to>
      <xdr:col>11</xdr:col>
      <xdr:colOff>184150</xdr:colOff>
      <xdr:row>32</xdr:row>
      <xdr:rowOff>107950</xdr:rowOff>
    </xdr:to>
    <xdr:grpSp>
      <xdr:nvGrpSpPr>
        <xdr:cNvPr id="5" name="Group 4">
          <a:extLst>
            <a:ext uri="{FF2B5EF4-FFF2-40B4-BE49-F238E27FC236}">
              <a16:creationId xmlns:a16="http://schemas.microsoft.com/office/drawing/2014/main" id="{00000000-0008-0000-0600-000005000000}"/>
            </a:ext>
          </a:extLst>
        </xdr:cNvPr>
        <xdr:cNvGrpSpPr/>
      </xdr:nvGrpSpPr>
      <xdr:grpSpPr>
        <a:xfrm>
          <a:off x="333375" y="585385"/>
          <a:ext cx="6352172" cy="5121594"/>
          <a:chOff x="4409027" y="4814807"/>
          <a:chExt cx="6048491" cy="5047562"/>
        </a:xfrm>
      </xdr:grpSpPr>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4409027" y="4814807"/>
          <a:ext cx="6048491" cy="504756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5502408" y="5582357"/>
          <a:ext cx="3899588" cy="355714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539750</xdr:colOff>
      <xdr:row>6</xdr:row>
      <xdr:rowOff>19050</xdr:rowOff>
    </xdr:from>
    <xdr:to>
      <xdr:col>10</xdr:col>
      <xdr:colOff>228600</xdr:colOff>
      <xdr:row>31</xdr:row>
      <xdr:rowOff>55833</xdr:rowOff>
    </xdr:to>
    <xdr:grpSp>
      <xdr:nvGrpSpPr>
        <xdr:cNvPr id="29" name="Group 28">
          <a:extLst>
            <a:ext uri="{FF2B5EF4-FFF2-40B4-BE49-F238E27FC236}">
              <a16:creationId xmlns:a16="http://schemas.microsoft.com/office/drawing/2014/main" id="{00000000-0008-0000-0600-00001D000000}"/>
            </a:ext>
          </a:extLst>
        </xdr:cNvPr>
        <xdr:cNvGrpSpPr/>
      </xdr:nvGrpSpPr>
      <xdr:grpSpPr>
        <a:xfrm>
          <a:off x="881313" y="996616"/>
          <a:ext cx="5237748" cy="4485960"/>
          <a:chOff x="838200" y="1073150"/>
          <a:chExt cx="5175250" cy="4642844"/>
        </a:xfrm>
      </xdr:grpSpPr>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3543300" y="1073150"/>
            <a:ext cx="9969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Greenhouse Gases</a:t>
            </a:r>
          </a:p>
        </xdr:txBody>
      </xdr:sp>
      <xdr:sp macro="" textlink="">
        <xdr:nvSpPr>
          <xdr:cNvPr id="9" name="TextBox 8">
            <a:extLst>
              <a:ext uri="{FF2B5EF4-FFF2-40B4-BE49-F238E27FC236}">
                <a16:creationId xmlns:a16="http://schemas.microsoft.com/office/drawing/2014/main" id="{00000000-0008-0000-0600-000009000000}"/>
              </a:ext>
            </a:extLst>
          </xdr:cNvPr>
          <xdr:cNvSpPr txBox="1"/>
        </xdr:nvSpPr>
        <xdr:spPr>
          <a:xfrm>
            <a:off x="4711700" y="1803400"/>
            <a:ext cx="7112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Air Quality</a:t>
            </a:r>
          </a:p>
        </xdr:txBody>
      </xdr:sp>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5016500" y="3060700"/>
            <a:ext cx="9969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Sustainable Transport</a:t>
            </a:r>
          </a:p>
        </xdr:txBody>
      </xdr:sp>
      <xdr:sp macro="" textlink="">
        <xdr:nvSpPr>
          <xdr:cNvPr id="11" name="TextBox 10">
            <a:extLst>
              <a:ext uri="{FF2B5EF4-FFF2-40B4-BE49-F238E27FC236}">
                <a16:creationId xmlns:a16="http://schemas.microsoft.com/office/drawing/2014/main" id="{00000000-0008-0000-0600-00000B000000}"/>
              </a:ext>
            </a:extLst>
          </xdr:cNvPr>
          <xdr:cNvSpPr txBox="1"/>
        </xdr:nvSpPr>
        <xdr:spPr>
          <a:xfrm>
            <a:off x="4616450" y="4343400"/>
            <a:ext cx="9969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Land Use Change</a:t>
            </a:r>
          </a:p>
        </xdr:txBody>
      </xdr:sp>
      <xdr:sp macro="" textlink="">
        <xdr:nvSpPr>
          <xdr:cNvPr id="12" name="TextBox 11">
            <a:extLst>
              <a:ext uri="{FF2B5EF4-FFF2-40B4-BE49-F238E27FC236}">
                <a16:creationId xmlns:a16="http://schemas.microsoft.com/office/drawing/2014/main" id="{00000000-0008-0000-0600-00000C000000}"/>
              </a:ext>
            </a:extLst>
          </xdr:cNvPr>
          <xdr:cNvSpPr txBox="1"/>
        </xdr:nvSpPr>
        <xdr:spPr>
          <a:xfrm>
            <a:off x="3556000" y="5194300"/>
            <a:ext cx="99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Biodiversity</a:t>
            </a:r>
          </a:p>
        </xdr:txBody>
      </xdr:sp>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2133600" y="4980892"/>
            <a:ext cx="996950" cy="735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Soil, Watercourse and Marine Health</a:t>
            </a:r>
          </a:p>
        </xdr:txBody>
      </xdr:sp>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1092200" y="4229100"/>
            <a:ext cx="996950" cy="585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Climate Change</a:t>
            </a:r>
            <a:r>
              <a:rPr lang="en-GB" sz="1050" b="1" baseline="0"/>
              <a:t> Adaptation</a:t>
            </a:r>
            <a:endParaRPr lang="en-GB" sz="1050" b="1"/>
          </a:p>
        </xdr:txBody>
      </xdr:sp>
      <xdr:sp macro="" textlink="">
        <xdr:nvSpPr>
          <xdr:cNvPr id="15" name="TextBox 14">
            <a:extLst>
              <a:ext uri="{FF2B5EF4-FFF2-40B4-BE49-F238E27FC236}">
                <a16:creationId xmlns:a16="http://schemas.microsoft.com/office/drawing/2014/main" id="{00000000-0008-0000-0600-00000F000000}"/>
              </a:ext>
            </a:extLst>
          </xdr:cNvPr>
          <xdr:cNvSpPr txBox="1"/>
        </xdr:nvSpPr>
        <xdr:spPr>
          <a:xfrm>
            <a:off x="838200" y="3079750"/>
            <a:ext cx="7112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Energy Use</a:t>
            </a:r>
          </a:p>
        </xdr:txBody>
      </xdr:sp>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1111250" y="1822450"/>
            <a:ext cx="9969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Sustainable Materials</a:t>
            </a:r>
          </a:p>
        </xdr:txBody>
      </xdr:sp>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2171700" y="1117600"/>
            <a:ext cx="99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Waste</a:t>
            </a:r>
          </a:p>
        </xdr:txBody>
      </xdr:sp>
    </xdr:grpSp>
    <xdr:clientData/>
  </xdr:twoCellAnchor>
  <xdr:twoCellAnchor>
    <xdr:from>
      <xdr:col>3</xdr:col>
      <xdr:colOff>82550</xdr:colOff>
      <xdr:row>11</xdr:row>
      <xdr:rowOff>0</xdr:rowOff>
    </xdr:from>
    <xdr:to>
      <xdr:col>8</xdr:col>
      <xdr:colOff>514350</xdr:colOff>
      <xdr:row>26</xdr:row>
      <xdr:rowOff>36736</xdr:rowOff>
    </xdr:to>
    <xdr:grpSp>
      <xdr:nvGrpSpPr>
        <xdr:cNvPr id="30" name="Group 29">
          <a:extLst>
            <a:ext uri="{FF2B5EF4-FFF2-40B4-BE49-F238E27FC236}">
              <a16:creationId xmlns:a16="http://schemas.microsoft.com/office/drawing/2014/main" id="{00000000-0008-0000-0600-00001E000000}"/>
            </a:ext>
          </a:extLst>
        </xdr:cNvPr>
        <xdr:cNvGrpSpPr/>
      </xdr:nvGrpSpPr>
      <xdr:grpSpPr>
        <a:xfrm>
          <a:off x="1677403" y="1867401"/>
          <a:ext cx="3499184" cy="2718776"/>
          <a:chOff x="1619250" y="1879600"/>
          <a:chExt cx="3479800" cy="2798986"/>
        </a:xfrm>
      </xdr:grpSpPr>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3225800" y="1879600"/>
            <a:ext cx="99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Food</a:t>
            </a:r>
          </a:p>
        </xdr:txBody>
      </xdr:sp>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3810000" y="2209800"/>
            <a:ext cx="9969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Health &amp; Wellbeing</a:t>
            </a:r>
          </a:p>
        </xdr:txBody>
      </xdr:sp>
      <xdr:sp macro="" textlink="">
        <xdr:nvSpPr>
          <xdr:cNvPr id="20" name="TextBox 19">
            <a:extLst>
              <a:ext uri="{FF2B5EF4-FFF2-40B4-BE49-F238E27FC236}">
                <a16:creationId xmlns:a16="http://schemas.microsoft.com/office/drawing/2014/main" id="{00000000-0008-0000-0600-000014000000}"/>
              </a:ext>
            </a:extLst>
          </xdr:cNvPr>
          <xdr:cNvSpPr txBox="1"/>
        </xdr:nvSpPr>
        <xdr:spPr>
          <a:xfrm>
            <a:off x="4102100" y="2927350"/>
            <a:ext cx="99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Housing</a:t>
            </a:r>
          </a:p>
        </xdr:txBody>
      </xdr:sp>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4006850" y="3594100"/>
            <a:ext cx="99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Education</a:t>
            </a:r>
          </a:p>
        </xdr:txBody>
      </xdr:sp>
      <xdr:sp macro="" textlink="">
        <xdr:nvSpPr>
          <xdr:cNvPr id="22" name="TextBox 21">
            <a:extLst>
              <a:ext uri="{FF2B5EF4-FFF2-40B4-BE49-F238E27FC236}">
                <a16:creationId xmlns:a16="http://schemas.microsoft.com/office/drawing/2014/main" id="{00000000-0008-0000-0600-000016000000}"/>
              </a:ext>
            </a:extLst>
          </xdr:cNvPr>
          <xdr:cNvSpPr txBox="1"/>
        </xdr:nvSpPr>
        <xdr:spPr>
          <a:xfrm>
            <a:off x="3562350" y="4032250"/>
            <a:ext cx="9969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Built Community</a:t>
            </a:r>
          </a:p>
        </xdr:txBody>
      </xdr:sp>
      <xdr:sp macro="" textlink="">
        <xdr:nvSpPr>
          <xdr:cNvPr id="23" name="TextBox 22">
            <a:extLst>
              <a:ext uri="{FF2B5EF4-FFF2-40B4-BE49-F238E27FC236}">
                <a16:creationId xmlns:a16="http://schemas.microsoft.com/office/drawing/2014/main" id="{00000000-0008-0000-0600-000017000000}"/>
              </a:ext>
            </a:extLst>
          </xdr:cNvPr>
          <xdr:cNvSpPr txBox="1"/>
        </xdr:nvSpPr>
        <xdr:spPr>
          <a:xfrm>
            <a:off x="2832100" y="4241800"/>
            <a:ext cx="9969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Cultural Community</a:t>
            </a:r>
          </a:p>
        </xdr:txBody>
      </xdr:sp>
      <xdr:sp macro="" textlink="">
        <xdr:nvSpPr>
          <xdr:cNvPr id="24" name="TextBox 23">
            <a:extLst>
              <a:ext uri="{FF2B5EF4-FFF2-40B4-BE49-F238E27FC236}">
                <a16:creationId xmlns:a16="http://schemas.microsoft.com/office/drawing/2014/main" id="{00000000-0008-0000-0600-000018000000}"/>
              </a:ext>
            </a:extLst>
          </xdr:cNvPr>
          <xdr:cNvSpPr txBox="1"/>
        </xdr:nvSpPr>
        <xdr:spPr>
          <a:xfrm>
            <a:off x="2139950" y="4089400"/>
            <a:ext cx="99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Accessibility</a:t>
            </a:r>
          </a:p>
        </xdr:txBody>
      </xdr:sp>
      <xdr:sp macro="" textlink="">
        <xdr:nvSpPr>
          <xdr:cNvPr id="25" name="TextBox 24">
            <a:extLst>
              <a:ext uri="{FF2B5EF4-FFF2-40B4-BE49-F238E27FC236}">
                <a16:creationId xmlns:a16="http://schemas.microsoft.com/office/drawing/2014/main" id="{00000000-0008-0000-0600-000019000000}"/>
              </a:ext>
            </a:extLst>
          </xdr:cNvPr>
          <xdr:cNvSpPr txBox="1"/>
        </xdr:nvSpPr>
        <xdr:spPr>
          <a:xfrm>
            <a:off x="1714500" y="3467100"/>
            <a:ext cx="996950" cy="585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Local Economy &amp; Jobs</a:t>
            </a:r>
          </a:p>
        </xdr:txBody>
      </xdr:sp>
      <xdr:sp macro="" textlink="">
        <xdr:nvSpPr>
          <xdr:cNvPr id="26" name="TextBox 25">
            <a:extLst>
              <a:ext uri="{FF2B5EF4-FFF2-40B4-BE49-F238E27FC236}">
                <a16:creationId xmlns:a16="http://schemas.microsoft.com/office/drawing/2014/main" id="{00000000-0008-0000-0600-00001A000000}"/>
              </a:ext>
            </a:extLst>
          </xdr:cNvPr>
          <xdr:cNvSpPr txBox="1"/>
        </xdr:nvSpPr>
        <xdr:spPr>
          <a:xfrm>
            <a:off x="1619250" y="2825750"/>
            <a:ext cx="9969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Safety &amp; Crime</a:t>
            </a:r>
          </a:p>
        </xdr:txBody>
      </xdr:sp>
      <xdr:sp macro="" textlink="">
        <xdr:nvSpPr>
          <xdr:cNvPr id="27" name="TextBox 26">
            <a:extLst>
              <a:ext uri="{FF2B5EF4-FFF2-40B4-BE49-F238E27FC236}">
                <a16:creationId xmlns:a16="http://schemas.microsoft.com/office/drawing/2014/main" id="{00000000-0008-0000-0600-00001B000000}"/>
              </a:ext>
            </a:extLst>
          </xdr:cNvPr>
          <xdr:cNvSpPr txBox="1"/>
        </xdr:nvSpPr>
        <xdr:spPr>
          <a:xfrm>
            <a:off x="1885950" y="2197100"/>
            <a:ext cx="9969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Democratic</a:t>
            </a:r>
            <a:r>
              <a:rPr lang="en-GB" sz="1050" b="1" baseline="0"/>
              <a:t> Voice</a:t>
            </a:r>
            <a:endParaRPr lang="en-GB" sz="1050" b="1"/>
          </a:p>
        </xdr:txBody>
      </xdr:sp>
      <xdr:sp macro="" textlink="">
        <xdr:nvSpPr>
          <xdr:cNvPr id="28" name="TextBox 27">
            <a:extLst>
              <a:ext uri="{FF2B5EF4-FFF2-40B4-BE49-F238E27FC236}">
                <a16:creationId xmlns:a16="http://schemas.microsoft.com/office/drawing/2014/main" id="{00000000-0008-0000-0600-00001C000000}"/>
              </a:ext>
            </a:extLst>
          </xdr:cNvPr>
          <xdr:cNvSpPr txBox="1"/>
        </xdr:nvSpPr>
        <xdr:spPr>
          <a:xfrm>
            <a:off x="2463800" y="1879600"/>
            <a:ext cx="99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050" b="1"/>
              <a:t>Equity</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431934</xdr:colOff>
      <xdr:row>0</xdr:row>
      <xdr:rowOff>119444</xdr:rowOff>
    </xdr:from>
    <xdr:to>
      <xdr:col>8</xdr:col>
      <xdr:colOff>1074872</xdr:colOff>
      <xdr:row>17</xdr:row>
      <xdr:rowOff>338149</xdr:rowOff>
    </xdr:to>
    <xdr:grpSp>
      <xdr:nvGrpSpPr>
        <xdr:cNvPr id="2" name="Group 1">
          <a:extLst>
            <a:ext uri="{FF2B5EF4-FFF2-40B4-BE49-F238E27FC236}">
              <a16:creationId xmlns:a16="http://schemas.microsoft.com/office/drawing/2014/main" id="{00000000-0008-0000-0900-000002000000}"/>
            </a:ext>
          </a:extLst>
        </xdr:cNvPr>
        <xdr:cNvGrpSpPr/>
      </xdr:nvGrpSpPr>
      <xdr:grpSpPr>
        <a:xfrm>
          <a:off x="15048479" y="119444"/>
          <a:ext cx="10895302" cy="7509660"/>
          <a:chOff x="14978062" y="309562"/>
          <a:chExt cx="10882313" cy="7516154"/>
        </a:xfrm>
      </xdr:grpSpPr>
      <xdr:grpSp>
        <xdr:nvGrpSpPr>
          <xdr:cNvPr id="34" name="Group 33">
            <a:extLst>
              <a:ext uri="{FF2B5EF4-FFF2-40B4-BE49-F238E27FC236}">
                <a16:creationId xmlns:a16="http://schemas.microsoft.com/office/drawing/2014/main" id="{00000000-0008-0000-0900-000022000000}"/>
              </a:ext>
            </a:extLst>
          </xdr:cNvPr>
          <xdr:cNvGrpSpPr/>
        </xdr:nvGrpSpPr>
        <xdr:grpSpPr>
          <a:xfrm>
            <a:off x="14978062" y="309562"/>
            <a:ext cx="10882313" cy="7516154"/>
            <a:chOff x="13001685" y="1420092"/>
            <a:chExt cx="7299907" cy="5326417"/>
          </a:xfrm>
        </xdr:grpSpPr>
        <xdr:grpSp>
          <xdr:nvGrpSpPr>
            <xdr:cNvPr id="3" name="Group 2">
              <a:extLst>
                <a:ext uri="{FF2B5EF4-FFF2-40B4-BE49-F238E27FC236}">
                  <a16:creationId xmlns:a16="http://schemas.microsoft.com/office/drawing/2014/main" id="{00000000-0008-0000-0800-000003000000}"/>
                </a:ext>
              </a:extLst>
            </xdr:cNvPr>
            <xdr:cNvGrpSpPr>
              <a:grpSpLocks noChangeAspect="1"/>
            </xdr:cNvGrpSpPr>
          </xdr:nvGrpSpPr>
          <xdr:grpSpPr>
            <a:xfrm>
              <a:off x="13001685" y="1420092"/>
              <a:ext cx="7299907" cy="5326417"/>
              <a:chOff x="-35579" y="369592"/>
              <a:chExt cx="6339820" cy="4185259"/>
            </a:xfrm>
          </xdr:grpSpPr>
          <xdr:graphicFrame macro="">
            <xdr:nvGraphicFramePr>
              <xdr:cNvPr id="31" name="Chart 30">
                <a:extLst>
                  <a:ext uri="{FF2B5EF4-FFF2-40B4-BE49-F238E27FC236}">
                    <a16:creationId xmlns:a16="http://schemas.microsoft.com/office/drawing/2014/main" id="{00000000-0008-0000-0800-00001F000000}"/>
                  </a:ext>
                </a:extLst>
              </xdr:cNvPr>
              <xdr:cNvGraphicFramePr>
                <a:graphicFrameLocks/>
              </xdr:cNvGraphicFramePr>
            </xdr:nvGraphicFramePr>
            <xdr:xfrm>
              <a:off x="-35579" y="369592"/>
              <a:ext cx="6339820" cy="418525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3" name="Chart 32">
                <a:extLst>
                  <a:ext uri="{FF2B5EF4-FFF2-40B4-BE49-F238E27FC236}">
                    <a16:creationId xmlns:a16="http://schemas.microsoft.com/office/drawing/2014/main" id="{00000000-0008-0000-0800-000021000000}"/>
                  </a:ext>
                </a:extLst>
              </xdr:cNvPr>
              <xdr:cNvGraphicFramePr>
                <a:graphicFrameLocks/>
              </xdr:cNvGraphicFramePr>
            </xdr:nvGraphicFramePr>
            <xdr:xfrm>
              <a:off x="1182439" y="1003201"/>
              <a:ext cx="3904855" cy="2918712"/>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 name="Group 5">
              <a:extLst>
                <a:ext uri="{FF2B5EF4-FFF2-40B4-BE49-F238E27FC236}">
                  <a16:creationId xmlns:a16="http://schemas.microsoft.com/office/drawing/2014/main" id="{00000000-0008-0000-0800-000006000000}"/>
                </a:ext>
              </a:extLst>
            </xdr:cNvPr>
            <xdr:cNvGrpSpPr/>
          </xdr:nvGrpSpPr>
          <xdr:grpSpPr>
            <a:xfrm>
              <a:off x="14160358" y="1770548"/>
              <a:ext cx="4791866" cy="4716252"/>
              <a:chOff x="883303" y="725709"/>
              <a:chExt cx="5232829" cy="4803109"/>
            </a:xfrm>
          </xdr:grpSpPr>
          <xdr:sp macro="" textlink="">
            <xdr:nvSpPr>
              <xdr:cNvPr id="7" name="TextBox 6">
                <a:extLst>
                  <a:ext uri="{FF2B5EF4-FFF2-40B4-BE49-F238E27FC236}">
                    <a16:creationId xmlns:a16="http://schemas.microsoft.com/office/drawing/2014/main" id="{00000000-0008-0000-0800-000007000000}"/>
                  </a:ext>
                </a:extLst>
              </xdr:cNvPr>
              <xdr:cNvSpPr txBox="1"/>
            </xdr:nvSpPr>
            <xdr:spPr>
              <a:xfrm>
                <a:off x="3707880" y="725709"/>
                <a:ext cx="1232536" cy="532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600" b="0"/>
                  <a:t>Greenhouse Gases</a:t>
                </a:r>
              </a:p>
            </xdr:txBody>
          </xdr:sp>
          <xdr:sp macro="" textlink="">
            <xdr:nvSpPr>
              <xdr:cNvPr id="8" name="TextBox 7">
                <a:extLst>
                  <a:ext uri="{FF2B5EF4-FFF2-40B4-BE49-F238E27FC236}">
                    <a16:creationId xmlns:a16="http://schemas.microsoft.com/office/drawing/2014/main" id="{00000000-0008-0000-0800-000008000000}"/>
                  </a:ext>
                </a:extLst>
              </xdr:cNvPr>
              <xdr:cNvSpPr txBox="1"/>
            </xdr:nvSpPr>
            <xdr:spPr>
              <a:xfrm>
                <a:off x="4924940" y="1628657"/>
                <a:ext cx="1077376" cy="246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Air Quality</a:t>
                </a:r>
              </a:p>
            </xdr:txBody>
          </xdr:sp>
          <xdr:sp macro="" textlink="">
            <xdr:nvSpPr>
              <xdr:cNvPr id="9" name="TextBox 8">
                <a:extLst>
                  <a:ext uri="{FF2B5EF4-FFF2-40B4-BE49-F238E27FC236}">
                    <a16:creationId xmlns:a16="http://schemas.microsoft.com/office/drawing/2014/main" id="{00000000-0008-0000-0800-000009000000}"/>
                  </a:ext>
                </a:extLst>
              </xdr:cNvPr>
              <xdr:cNvSpPr txBox="1"/>
            </xdr:nvSpPr>
            <xdr:spPr>
              <a:xfrm rot="5225492">
                <a:off x="5335745" y="2836573"/>
                <a:ext cx="1128470" cy="432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Sustainable Transport</a:t>
                </a:r>
              </a:p>
            </xdr:txBody>
          </xdr:sp>
          <xdr:sp macro="" textlink="">
            <xdr:nvSpPr>
              <xdr:cNvPr id="10" name="TextBox 9">
                <a:extLst>
                  <a:ext uri="{FF2B5EF4-FFF2-40B4-BE49-F238E27FC236}">
                    <a16:creationId xmlns:a16="http://schemas.microsoft.com/office/drawing/2014/main" id="{00000000-0008-0000-0800-00000A000000}"/>
                  </a:ext>
                </a:extLst>
              </xdr:cNvPr>
              <xdr:cNvSpPr txBox="1"/>
            </xdr:nvSpPr>
            <xdr:spPr>
              <a:xfrm>
                <a:off x="4976259" y="4175692"/>
                <a:ext cx="922555" cy="428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Land Use Change</a:t>
                </a:r>
              </a:p>
            </xdr:txBody>
          </xdr:sp>
          <xdr:sp macro="" textlink="">
            <xdr:nvSpPr>
              <xdr:cNvPr id="11" name="TextBox 10">
                <a:extLst>
                  <a:ext uri="{FF2B5EF4-FFF2-40B4-BE49-F238E27FC236}">
                    <a16:creationId xmlns:a16="http://schemas.microsoft.com/office/drawing/2014/main" id="{00000000-0008-0000-0800-00000B000000}"/>
                  </a:ext>
                </a:extLst>
              </xdr:cNvPr>
              <xdr:cNvSpPr txBox="1"/>
            </xdr:nvSpPr>
            <xdr:spPr>
              <a:xfrm rot="20568746">
                <a:off x="3550915" y="5063968"/>
                <a:ext cx="1586206" cy="269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800" b="0"/>
                  <a:t>Biodiversity</a:t>
                </a:r>
              </a:p>
            </xdr:txBody>
          </xdr:sp>
          <xdr:sp macro="" textlink="">
            <xdr:nvSpPr>
              <xdr:cNvPr id="12" name="TextBox 11">
                <a:extLst>
                  <a:ext uri="{FF2B5EF4-FFF2-40B4-BE49-F238E27FC236}">
                    <a16:creationId xmlns:a16="http://schemas.microsoft.com/office/drawing/2014/main" id="{00000000-0008-0000-0800-00000C000000}"/>
                  </a:ext>
                </a:extLst>
              </xdr:cNvPr>
              <xdr:cNvSpPr txBox="1"/>
            </xdr:nvSpPr>
            <xdr:spPr>
              <a:xfrm rot="980040">
                <a:off x="2195738" y="5023487"/>
                <a:ext cx="1378448" cy="505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600" b="0"/>
                  <a:t>Soil,</a:t>
                </a:r>
                <a:r>
                  <a:rPr lang="en-GB" sz="1600" b="0" baseline="0"/>
                  <a:t> watercourse and marine health</a:t>
                </a:r>
                <a:endParaRPr lang="en-GB" sz="1600" b="0"/>
              </a:p>
            </xdr:txBody>
          </xdr:sp>
          <xdr:sp macro="" textlink="">
            <xdr:nvSpPr>
              <xdr:cNvPr id="13" name="TextBox 12">
                <a:extLst>
                  <a:ext uri="{FF2B5EF4-FFF2-40B4-BE49-F238E27FC236}">
                    <a16:creationId xmlns:a16="http://schemas.microsoft.com/office/drawing/2014/main" id="{00000000-0008-0000-0800-00000D000000}"/>
                  </a:ext>
                </a:extLst>
              </xdr:cNvPr>
              <xdr:cNvSpPr txBox="1"/>
            </xdr:nvSpPr>
            <xdr:spPr>
              <a:xfrm rot="3125709">
                <a:off x="1116935" y="4201696"/>
                <a:ext cx="1233559" cy="434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Climate Change</a:t>
                </a:r>
                <a:r>
                  <a:rPr lang="en-GB" sz="1600" b="0" baseline="0"/>
                  <a:t> Adaptation</a:t>
                </a:r>
                <a:endParaRPr lang="en-GB" sz="1600" b="0"/>
              </a:p>
            </xdr:txBody>
          </xdr:sp>
          <xdr:sp macro="" textlink="">
            <xdr:nvSpPr>
              <xdr:cNvPr id="14" name="TextBox 13">
                <a:extLst>
                  <a:ext uri="{FF2B5EF4-FFF2-40B4-BE49-F238E27FC236}">
                    <a16:creationId xmlns:a16="http://schemas.microsoft.com/office/drawing/2014/main" id="{00000000-0008-0000-0800-00000E000000}"/>
                  </a:ext>
                </a:extLst>
              </xdr:cNvPr>
              <xdr:cNvSpPr txBox="1"/>
            </xdr:nvSpPr>
            <xdr:spPr>
              <a:xfrm>
                <a:off x="883303" y="2839555"/>
                <a:ext cx="841050" cy="599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0"/>
                  <a:t>Energy Use</a:t>
                </a:r>
              </a:p>
            </xdr:txBody>
          </xdr:sp>
          <xdr:sp macro="" textlink="">
            <xdr:nvSpPr>
              <xdr:cNvPr id="15" name="TextBox 14">
                <a:extLst>
                  <a:ext uri="{FF2B5EF4-FFF2-40B4-BE49-F238E27FC236}">
                    <a16:creationId xmlns:a16="http://schemas.microsoft.com/office/drawing/2014/main" id="{00000000-0008-0000-0800-00000F000000}"/>
                  </a:ext>
                </a:extLst>
              </xdr:cNvPr>
              <xdr:cNvSpPr txBox="1"/>
            </xdr:nvSpPr>
            <xdr:spPr>
              <a:xfrm rot="18278901">
                <a:off x="1336372" y="1447781"/>
                <a:ext cx="1191141" cy="84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600" b="0"/>
                  <a:t>Sustainable Materials</a:t>
                </a:r>
              </a:p>
            </xdr:txBody>
          </xdr:sp>
          <xdr:sp macro="" textlink="">
            <xdr:nvSpPr>
              <xdr:cNvPr id="16" name="TextBox 15">
                <a:extLst>
                  <a:ext uri="{FF2B5EF4-FFF2-40B4-BE49-F238E27FC236}">
                    <a16:creationId xmlns:a16="http://schemas.microsoft.com/office/drawing/2014/main" id="{00000000-0008-0000-0800-000010000000}"/>
                  </a:ext>
                </a:extLst>
              </xdr:cNvPr>
              <xdr:cNvSpPr txBox="1"/>
            </xdr:nvSpPr>
            <xdr:spPr>
              <a:xfrm>
                <a:off x="2265152" y="805660"/>
                <a:ext cx="1215281" cy="419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600" b="0"/>
                  <a:t>Waste</a:t>
                </a:r>
              </a:p>
            </xdr:txBody>
          </xdr:sp>
        </xdr:grpSp>
      </xdr:grpSp>
      <xdr:grpSp>
        <xdr:nvGrpSpPr>
          <xdr:cNvPr id="17" name="Group 16">
            <a:extLst>
              <a:ext uri="{FF2B5EF4-FFF2-40B4-BE49-F238E27FC236}">
                <a16:creationId xmlns:a16="http://schemas.microsoft.com/office/drawing/2014/main" id="{00000000-0008-0000-0800-000011000000}"/>
              </a:ext>
            </a:extLst>
          </xdr:cNvPr>
          <xdr:cNvGrpSpPr/>
        </xdr:nvGrpSpPr>
        <xdr:grpSpPr>
          <a:xfrm>
            <a:off x="17944806" y="2000249"/>
            <a:ext cx="4945811" cy="4444497"/>
            <a:chOff x="1501979" y="1590680"/>
            <a:chExt cx="4008730" cy="3220229"/>
          </a:xfrm>
        </xdr:grpSpPr>
        <xdr:sp macro="" textlink="">
          <xdr:nvSpPr>
            <xdr:cNvPr id="18" name="TextBox 17">
              <a:extLst>
                <a:ext uri="{FF2B5EF4-FFF2-40B4-BE49-F238E27FC236}">
                  <a16:creationId xmlns:a16="http://schemas.microsoft.com/office/drawing/2014/main" id="{00000000-0008-0000-0800-000012000000}"/>
                </a:ext>
              </a:extLst>
            </xdr:cNvPr>
            <xdr:cNvSpPr txBox="1"/>
          </xdr:nvSpPr>
          <xdr:spPr>
            <a:xfrm>
              <a:off x="3389906" y="1590680"/>
              <a:ext cx="1087034" cy="247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Food</a:t>
              </a:r>
            </a:p>
          </xdr:txBody>
        </xdr:sp>
        <xdr:sp macro="" textlink="">
          <xdr:nvSpPr>
            <xdr:cNvPr id="19" name="TextBox 18">
              <a:extLst>
                <a:ext uri="{FF2B5EF4-FFF2-40B4-BE49-F238E27FC236}">
                  <a16:creationId xmlns:a16="http://schemas.microsoft.com/office/drawing/2014/main" id="{00000000-0008-0000-0800-000013000000}"/>
                </a:ext>
              </a:extLst>
            </xdr:cNvPr>
            <xdr:cNvSpPr txBox="1"/>
          </xdr:nvSpPr>
          <xdr:spPr>
            <a:xfrm>
              <a:off x="4198232" y="1927327"/>
              <a:ext cx="1014889" cy="42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Health &amp; Wellbeing</a:t>
              </a:r>
            </a:p>
          </xdr:txBody>
        </xdr:sp>
        <xdr:sp macro="" textlink="">
          <xdr:nvSpPr>
            <xdr:cNvPr id="20" name="TextBox 19">
              <a:extLst>
                <a:ext uri="{FF2B5EF4-FFF2-40B4-BE49-F238E27FC236}">
                  <a16:creationId xmlns:a16="http://schemas.microsoft.com/office/drawing/2014/main" id="{00000000-0008-0000-0800-000014000000}"/>
                </a:ext>
              </a:extLst>
            </xdr:cNvPr>
            <xdr:cNvSpPr txBox="1"/>
          </xdr:nvSpPr>
          <xdr:spPr>
            <a:xfrm>
              <a:off x="4513759" y="2754965"/>
              <a:ext cx="996950" cy="247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Housing</a:t>
              </a:r>
            </a:p>
          </xdr:txBody>
        </xdr:sp>
        <xdr:sp macro="" textlink="">
          <xdr:nvSpPr>
            <xdr:cNvPr id="21" name="TextBox 20">
              <a:extLst>
                <a:ext uri="{FF2B5EF4-FFF2-40B4-BE49-F238E27FC236}">
                  <a16:creationId xmlns:a16="http://schemas.microsoft.com/office/drawing/2014/main" id="{00000000-0008-0000-0800-000015000000}"/>
                </a:ext>
              </a:extLst>
            </xdr:cNvPr>
            <xdr:cNvSpPr txBox="1"/>
          </xdr:nvSpPr>
          <xdr:spPr>
            <a:xfrm>
              <a:off x="4369459" y="3539590"/>
              <a:ext cx="996950" cy="247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Education</a:t>
              </a:r>
            </a:p>
          </xdr:txBody>
        </xdr:sp>
        <xdr:sp macro="" textlink="">
          <xdr:nvSpPr>
            <xdr:cNvPr id="22" name="TextBox 21">
              <a:extLst>
                <a:ext uri="{FF2B5EF4-FFF2-40B4-BE49-F238E27FC236}">
                  <a16:creationId xmlns:a16="http://schemas.microsoft.com/office/drawing/2014/main" id="{00000000-0008-0000-0800-000016000000}"/>
                </a:ext>
              </a:extLst>
            </xdr:cNvPr>
            <xdr:cNvSpPr txBox="1"/>
          </xdr:nvSpPr>
          <xdr:spPr>
            <a:xfrm>
              <a:off x="3894504" y="4042133"/>
              <a:ext cx="1061048" cy="42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Built Community</a:t>
              </a:r>
            </a:p>
          </xdr:txBody>
        </xdr:sp>
        <xdr:sp macro="" textlink="">
          <xdr:nvSpPr>
            <xdr:cNvPr id="23" name="TextBox 22">
              <a:extLst>
                <a:ext uri="{FF2B5EF4-FFF2-40B4-BE49-F238E27FC236}">
                  <a16:creationId xmlns:a16="http://schemas.microsoft.com/office/drawing/2014/main" id="{00000000-0008-0000-0800-000017000000}"/>
                </a:ext>
              </a:extLst>
            </xdr:cNvPr>
            <xdr:cNvSpPr txBox="1"/>
          </xdr:nvSpPr>
          <xdr:spPr>
            <a:xfrm>
              <a:off x="2945139" y="4382459"/>
              <a:ext cx="1122980" cy="42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Cultural Community</a:t>
              </a:r>
            </a:p>
          </xdr:txBody>
        </xdr:sp>
        <xdr:sp macro="" textlink="">
          <xdr:nvSpPr>
            <xdr:cNvPr id="24" name="TextBox 23">
              <a:extLst>
                <a:ext uri="{FF2B5EF4-FFF2-40B4-BE49-F238E27FC236}">
                  <a16:creationId xmlns:a16="http://schemas.microsoft.com/office/drawing/2014/main" id="{00000000-0008-0000-0800-000018000000}"/>
                </a:ext>
              </a:extLst>
            </xdr:cNvPr>
            <xdr:cNvSpPr txBox="1"/>
          </xdr:nvSpPr>
          <xdr:spPr>
            <a:xfrm>
              <a:off x="1952206" y="4191126"/>
              <a:ext cx="1290123" cy="247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Accessibility</a:t>
              </a:r>
            </a:p>
          </xdr:txBody>
        </xdr:sp>
        <xdr:sp macro="" textlink="">
          <xdr:nvSpPr>
            <xdr:cNvPr id="25" name="TextBox 24">
              <a:extLst>
                <a:ext uri="{FF2B5EF4-FFF2-40B4-BE49-F238E27FC236}">
                  <a16:creationId xmlns:a16="http://schemas.microsoft.com/office/drawing/2014/main" id="{00000000-0008-0000-0800-000019000000}"/>
                </a:ext>
              </a:extLst>
            </xdr:cNvPr>
            <xdr:cNvSpPr txBox="1"/>
          </xdr:nvSpPr>
          <xdr:spPr>
            <a:xfrm>
              <a:off x="1600538" y="3359239"/>
              <a:ext cx="1025574" cy="609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Local Economy &amp; Jobs</a:t>
              </a:r>
            </a:p>
          </xdr:txBody>
        </xdr:sp>
        <xdr:sp macro="" textlink="">
          <xdr:nvSpPr>
            <xdr:cNvPr id="26" name="TextBox 25">
              <a:extLst>
                <a:ext uri="{FF2B5EF4-FFF2-40B4-BE49-F238E27FC236}">
                  <a16:creationId xmlns:a16="http://schemas.microsoft.com/office/drawing/2014/main" id="{00000000-0008-0000-0800-00001A000000}"/>
                </a:ext>
              </a:extLst>
            </xdr:cNvPr>
            <xdr:cNvSpPr txBox="1"/>
          </xdr:nvSpPr>
          <xdr:spPr>
            <a:xfrm>
              <a:off x="1501979" y="2692160"/>
              <a:ext cx="1004191" cy="42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Safety &amp; </a:t>
              </a:r>
            </a:p>
            <a:p>
              <a:pPr algn="ctr"/>
              <a:r>
                <a:rPr lang="en-GB" sz="1600" b="0"/>
                <a:t>Crime</a:t>
              </a:r>
            </a:p>
          </xdr:txBody>
        </xdr:sp>
        <xdr:sp macro="" textlink="">
          <xdr:nvSpPr>
            <xdr:cNvPr id="27" name="TextBox 26">
              <a:extLst>
                <a:ext uri="{FF2B5EF4-FFF2-40B4-BE49-F238E27FC236}">
                  <a16:creationId xmlns:a16="http://schemas.microsoft.com/office/drawing/2014/main" id="{00000000-0008-0000-0800-00001B000000}"/>
                </a:ext>
              </a:extLst>
            </xdr:cNvPr>
            <xdr:cNvSpPr txBox="1"/>
          </xdr:nvSpPr>
          <xdr:spPr>
            <a:xfrm>
              <a:off x="1792351" y="1996350"/>
              <a:ext cx="1030297" cy="42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Democratic</a:t>
              </a:r>
              <a:r>
                <a:rPr lang="en-GB" sz="1600" b="0" baseline="0"/>
                <a:t> Voice</a:t>
              </a:r>
              <a:endParaRPr lang="en-GB" sz="1600" b="0"/>
            </a:p>
          </xdr:txBody>
        </xdr:sp>
        <xdr:sp macro="" textlink="">
          <xdr:nvSpPr>
            <xdr:cNvPr id="28" name="TextBox 27">
              <a:extLst>
                <a:ext uri="{FF2B5EF4-FFF2-40B4-BE49-F238E27FC236}">
                  <a16:creationId xmlns:a16="http://schemas.microsoft.com/office/drawing/2014/main" id="{00000000-0008-0000-0800-00001C000000}"/>
                </a:ext>
              </a:extLst>
            </xdr:cNvPr>
            <xdr:cNvSpPr txBox="1"/>
          </xdr:nvSpPr>
          <xdr:spPr>
            <a:xfrm>
              <a:off x="2567558" y="1591457"/>
              <a:ext cx="996951" cy="247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0"/>
                <a:t>Equity</a:t>
              </a:r>
            </a:p>
          </xdr:txBody>
        </xdr:sp>
      </xdr:grpSp>
    </xdr:grpSp>
    <xdr:clientData/>
  </xdr:twoCellAnchor>
  <xdr:twoCellAnchor editAs="oneCell">
    <xdr:from>
      <xdr:col>8</xdr:col>
      <xdr:colOff>800557</xdr:colOff>
      <xdr:row>3</xdr:row>
      <xdr:rowOff>100135</xdr:rowOff>
    </xdr:from>
    <xdr:to>
      <xdr:col>8</xdr:col>
      <xdr:colOff>5016794</xdr:colOff>
      <xdr:row>16</xdr:row>
      <xdr:rowOff>380017</xdr:rowOff>
    </xdr:to>
    <xdr:pic>
      <xdr:nvPicPr>
        <xdr:cNvPr id="32" name="Picture 31">
          <a:extLst>
            <a:ext uri="{FF2B5EF4-FFF2-40B4-BE49-F238E27FC236}">
              <a16:creationId xmlns:a16="http://schemas.microsoft.com/office/drawing/2014/main" id="{00000000-0008-0000-0900-000020000000}"/>
            </a:ext>
          </a:extLst>
        </xdr:cNvPr>
        <xdr:cNvPicPr>
          <a:picLocks noChangeAspect="1"/>
        </xdr:cNvPicPr>
      </xdr:nvPicPr>
      <xdr:blipFill>
        <a:blip xmlns:r="http://schemas.openxmlformats.org/officeDocument/2006/relationships" r:embed="rId3"/>
        <a:stretch>
          <a:fillRect/>
        </a:stretch>
      </xdr:blipFill>
      <xdr:spPr>
        <a:xfrm>
          <a:off x="25636995" y="1052635"/>
          <a:ext cx="4216237" cy="58520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TSMKEN/AppData/Local/Microsoft/Windows/INetCache/Content.Outlook/LA1S51JQ/DPIA%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Control &amp; Info"/>
      <sheetName val="2. Screening Questions"/>
      <sheetName val="3. Basic Questions"/>
      <sheetName val="4. Data Map"/>
      <sheetName val="4a. Legislation"/>
      <sheetName val="5. Data Flow"/>
      <sheetName val="6. Summary"/>
      <sheetName val="7. Risk"/>
      <sheetName val="Sheet1"/>
      <sheetName val="8. Sign Off"/>
      <sheetName val="Validation"/>
      <sheetName val="Template Verison"/>
    </sheetNames>
    <sheetDataSet>
      <sheetData sheetId="0"/>
      <sheetData sheetId="1"/>
      <sheetData sheetId="2"/>
      <sheetData sheetId="3"/>
      <sheetData sheetId="4"/>
      <sheetData sheetId="5"/>
      <sheetData sheetId="6"/>
      <sheetData sheetId="7"/>
      <sheetData sheetId="8"/>
      <sheetData sheetId="9"/>
      <sheetData sheetId="10">
        <row r="13">
          <cell r="G13" t="str">
            <v>Privacy Risk</v>
          </cell>
        </row>
        <row r="14">
          <cell r="G14" t="str">
            <v>Risk to Individuals</v>
          </cell>
        </row>
        <row r="15">
          <cell r="G15" t="str">
            <v>Compliance Risks</v>
          </cell>
        </row>
        <row r="16">
          <cell r="G16" t="str">
            <v>Corporate Risks</v>
          </cell>
        </row>
      </sheetData>
      <sheetData sheetId="11"/>
    </sheetDataSet>
  </externalBook>
</externalLink>
</file>

<file path=xl/theme/theme1.xml><?xml version="1.0" encoding="utf-8"?>
<a:theme xmlns:a="http://schemas.openxmlformats.org/drawingml/2006/main" name="Office Theme">
  <a:themeElements>
    <a:clrScheme name="Custom 6">
      <a:dk1>
        <a:sysClr val="windowText" lastClr="000000"/>
      </a:dk1>
      <a:lt1>
        <a:sysClr val="window" lastClr="FFFFFF"/>
      </a:lt1>
      <a:dk2>
        <a:srgbClr val="1F497D"/>
      </a:dk2>
      <a:lt2>
        <a:srgbClr val="BFBFBF"/>
      </a:lt2>
      <a:accent1>
        <a:srgbClr val="4F81BD"/>
      </a:accent1>
      <a:accent2>
        <a:srgbClr val="C0504D"/>
      </a:accent2>
      <a:accent3>
        <a:srgbClr val="A5A5A5"/>
      </a:accent3>
      <a:accent4>
        <a:srgbClr val="F79646"/>
      </a:accent4>
      <a:accent5>
        <a:srgbClr val="4BACC6"/>
      </a:accent5>
      <a:accent6>
        <a:srgbClr val="76923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netzero.im/resources/public-bodies/cia/"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netzero.im/resources/public-bodies/cia/" TargetMode="External"/><Relationship Id="rId1" Type="http://schemas.openxmlformats.org/officeDocument/2006/relationships/hyperlink" Target="https://sdgs.un.org/goals"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sheetPr>
  <dimension ref="A1:Q67"/>
  <sheetViews>
    <sheetView showGridLines="0" tabSelected="1" zoomScale="85" zoomScaleNormal="85" workbookViewId="0">
      <selection activeCell="V9" sqref="V9"/>
    </sheetView>
  </sheetViews>
  <sheetFormatPr defaultColWidth="8.7109375" defaultRowHeight="15" x14ac:dyDescent="0.25"/>
  <cols>
    <col min="1" max="1" width="3.85546875" customWidth="1"/>
    <col min="2" max="2" width="4.7109375" customWidth="1"/>
    <col min="3" max="13" width="7.28515625" customWidth="1"/>
    <col min="14" max="14" width="5.140625" customWidth="1"/>
    <col min="15" max="15" width="3.42578125" customWidth="1"/>
    <col min="17" max="17" width="28.85546875" customWidth="1"/>
    <col min="18" max="18" width="4" customWidth="1"/>
  </cols>
  <sheetData>
    <row r="1" spans="1:17" x14ac:dyDescent="0.25">
      <c r="A1" s="67"/>
      <c r="B1" s="67"/>
      <c r="C1" s="67"/>
      <c r="D1" s="67"/>
      <c r="E1" s="67"/>
      <c r="F1" s="67"/>
      <c r="G1" s="67"/>
      <c r="H1" s="67"/>
      <c r="I1" s="67"/>
      <c r="J1" s="67"/>
      <c r="K1" s="67"/>
      <c r="L1" s="67"/>
      <c r="M1" s="67"/>
      <c r="N1" s="67"/>
      <c r="O1" s="67"/>
    </row>
    <row r="2" spans="1:17" ht="38.25" customHeight="1" x14ac:dyDescent="0.4">
      <c r="A2" s="67"/>
      <c r="B2" s="214" t="s">
        <v>409</v>
      </c>
      <c r="C2" s="214"/>
      <c r="D2" s="214"/>
      <c r="E2" s="214"/>
      <c r="F2" s="214"/>
      <c r="G2" s="214"/>
      <c r="H2" s="214"/>
      <c r="I2" s="214"/>
      <c r="J2" s="214"/>
      <c r="K2" s="214"/>
      <c r="L2" s="214"/>
      <c r="M2" s="214"/>
      <c r="N2" s="214"/>
      <c r="O2" s="69"/>
      <c r="P2" s="68"/>
      <c r="Q2" s="68"/>
    </row>
    <row r="3" spans="1:17" ht="95.25" customHeight="1" x14ac:dyDescent="0.25">
      <c r="A3" s="67"/>
      <c r="B3" s="4"/>
      <c r="C3" s="4"/>
      <c r="D3" s="4"/>
      <c r="E3" s="4"/>
      <c r="F3" s="4"/>
      <c r="G3" s="4"/>
      <c r="H3" s="4"/>
      <c r="I3" s="4"/>
      <c r="J3" s="4"/>
      <c r="K3" s="4"/>
      <c r="L3" s="4"/>
      <c r="N3" s="4"/>
      <c r="O3" s="67"/>
    </row>
    <row r="4" spans="1:17" s="133" customFormat="1" ht="45.75" customHeight="1" x14ac:dyDescent="0.25">
      <c r="A4" s="191"/>
      <c r="B4" s="192"/>
      <c r="C4" s="215" t="s">
        <v>415</v>
      </c>
      <c r="D4" s="215"/>
      <c r="E4" s="215"/>
      <c r="F4" s="215"/>
      <c r="G4" s="215"/>
      <c r="H4" s="215"/>
      <c r="I4" s="215"/>
      <c r="J4" s="215"/>
      <c r="K4" s="215"/>
      <c r="L4" s="215"/>
      <c r="M4" s="215"/>
      <c r="N4" s="193"/>
      <c r="O4" s="191"/>
    </row>
    <row r="5" spans="1:17" ht="8.25" customHeight="1" x14ac:dyDescent="0.25">
      <c r="A5" s="67"/>
      <c r="B5" s="4"/>
      <c r="C5" s="78"/>
      <c r="D5" s="78"/>
      <c r="E5" s="78"/>
      <c r="F5" s="78"/>
      <c r="G5" s="78"/>
      <c r="H5" s="78"/>
      <c r="I5" s="78"/>
      <c r="J5" s="78"/>
      <c r="K5" s="78"/>
      <c r="L5" s="78"/>
      <c r="M5" s="78"/>
      <c r="N5" s="27"/>
      <c r="O5" s="67"/>
    </row>
    <row r="6" spans="1:17" ht="33" customHeight="1" x14ac:dyDescent="0.25">
      <c r="A6" s="67"/>
      <c r="B6" s="4"/>
      <c r="C6" s="215" t="s">
        <v>416</v>
      </c>
      <c r="D6" s="215"/>
      <c r="E6" s="215"/>
      <c r="F6" s="215"/>
      <c r="G6" s="215"/>
      <c r="H6" s="215"/>
      <c r="I6" s="215"/>
      <c r="J6" s="215"/>
      <c r="K6" s="215"/>
      <c r="L6" s="215"/>
      <c r="M6" s="215"/>
      <c r="N6" s="27"/>
      <c r="O6" s="67"/>
    </row>
    <row r="7" spans="1:17" ht="32.25" customHeight="1" x14ac:dyDescent="0.25">
      <c r="A7" s="67"/>
      <c r="B7" s="4"/>
      <c r="C7" s="78" t="s">
        <v>417</v>
      </c>
      <c r="D7" s="215" t="s">
        <v>290</v>
      </c>
      <c r="E7" s="215"/>
      <c r="F7" s="215"/>
      <c r="G7" s="215"/>
      <c r="H7" s="215"/>
      <c r="I7" s="215"/>
      <c r="J7" s="215"/>
      <c r="K7" s="215"/>
      <c r="L7" s="215"/>
      <c r="M7" s="215"/>
      <c r="N7" s="27"/>
      <c r="O7" s="67"/>
    </row>
    <row r="8" spans="1:17" ht="18" customHeight="1" x14ac:dyDescent="0.25">
      <c r="A8" s="67"/>
      <c r="B8" s="4"/>
      <c r="C8" s="78" t="s">
        <v>418</v>
      </c>
      <c r="D8" s="215" t="s">
        <v>285</v>
      </c>
      <c r="E8" s="215"/>
      <c r="F8" s="215"/>
      <c r="G8" s="215"/>
      <c r="H8" s="215"/>
      <c r="I8" s="215"/>
      <c r="J8" s="215"/>
      <c r="K8" s="215"/>
      <c r="L8" s="215"/>
      <c r="M8" s="215"/>
      <c r="N8" s="27"/>
      <c r="O8" s="67"/>
    </row>
    <row r="9" spans="1:17" ht="18" customHeight="1" x14ac:dyDescent="0.25">
      <c r="A9" s="67"/>
      <c r="B9" s="4"/>
      <c r="C9" s="78" t="s">
        <v>282</v>
      </c>
      <c r="D9" s="215" t="s">
        <v>286</v>
      </c>
      <c r="E9" s="215"/>
      <c r="F9" s="215"/>
      <c r="G9" s="215"/>
      <c r="H9" s="215"/>
      <c r="I9" s="215"/>
      <c r="J9" s="215"/>
      <c r="K9" s="215"/>
      <c r="L9" s="215"/>
      <c r="M9" s="215"/>
      <c r="N9" s="27"/>
      <c r="O9" s="67"/>
    </row>
    <row r="10" spans="1:17" ht="32.25" customHeight="1" x14ac:dyDescent="0.25">
      <c r="A10" s="67"/>
      <c r="B10" s="4"/>
      <c r="C10" s="78" t="s">
        <v>419</v>
      </c>
      <c r="D10" s="215" t="s">
        <v>420</v>
      </c>
      <c r="E10" s="215"/>
      <c r="F10" s="215"/>
      <c r="G10" s="215"/>
      <c r="H10" s="215"/>
      <c r="I10" s="215"/>
      <c r="J10" s="215"/>
      <c r="K10" s="215"/>
      <c r="L10" s="215"/>
      <c r="M10" s="215"/>
      <c r="N10" s="27"/>
      <c r="O10" s="67"/>
    </row>
    <row r="11" spans="1:17" ht="18" customHeight="1" x14ac:dyDescent="0.25">
      <c r="A11" s="67"/>
      <c r="B11" s="4"/>
      <c r="C11" s="78" t="s">
        <v>284</v>
      </c>
      <c r="D11" s="215" t="s">
        <v>288</v>
      </c>
      <c r="E11" s="215"/>
      <c r="F11" s="215"/>
      <c r="G11" s="215"/>
      <c r="H11" s="215"/>
      <c r="I11" s="215"/>
      <c r="J11" s="215"/>
      <c r="K11" s="215"/>
      <c r="L11" s="215"/>
      <c r="M11" s="215"/>
      <c r="N11" s="27"/>
      <c r="O11" s="67"/>
    </row>
    <row r="12" spans="1:17" ht="9.75" customHeight="1" x14ac:dyDescent="0.25">
      <c r="A12" s="67"/>
      <c r="B12" s="4"/>
      <c r="C12" s="78"/>
      <c r="D12" s="78"/>
      <c r="E12" s="78"/>
      <c r="F12" s="78"/>
      <c r="G12" s="78"/>
      <c r="H12" s="78"/>
      <c r="I12" s="78"/>
      <c r="J12" s="78"/>
      <c r="K12" s="78"/>
      <c r="L12" s="78"/>
      <c r="M12" s="78"/>
      <c r="N12" s="27"/>
      <c r="O12" s="67"/>
    </row>
    <row r="13" spans="1:17" ht="33" customHeight="1" x14ac:dyDescent="0.25">
      <c r="A13" s="67"/>
      <c r="B13" s="4"/>
      <c r="C13" s="215" t="s">
        <v>421</v>
      </c>
      <c r="D13" s="215"/>
      <c r="E13" s="215"/>
      <c r="F13" s="215"/>
      <c r="G13" s="215"/>
      <c r="H13" s="215"/>
      <c r="I13" s="215"/>
      <c r="J13" s="215"/>
      <c r="K13" s="215"/>
      <c r="L13" s="215"/>
      <c r="M13" s="215"/>
      <c r="N13" s="27"/>
      <c r="O13" s="67"/>
    </row>
    <row r="14" spans="1:17" ht="9.75" customHeight="1" x14ac:dyDescent="0.25">
      <c r="A14" s="67"/>
      <c r="B14" s="4"/>
      <c r="C14" s="211"/>
      <c r="D14" s="211"/>
      <c r="E14" s="211"/>
      <c r="F14" s="211"/>
      <c r="G14" s="211"/>
      <c r="H14" s="211"/>
      <c r="I14" s="211"/>
      <c r="J14" s="211"/>
      <c r="K14" s="211"/>
      <c r="L14" s="211"/>
      <c r="M14" s="211"/>
      <c r="N14" s="212"/>
      <c r="O14" s="67"/>
    </row>
    <row r="15" spans="1:17" ht="34.5" customHeight="1" x14ac:dyDescent="0.25">
      <c r="A15" s="67"/>
      <c r="B15" s="4"/>
      <c r="C15" s="218" t="s">
        <v>410</v>
      </c>
      <c r="D15" s="218"/>
      <c r="E15" s="218"/>
      <c r="F15" s="218"/>
      <c r="G15" s="218"/>
      <c r="H15" s="218"/>
      <c r="I15" s="218"/>
      <c r="J15" s="218"/>
      <c r="K15" s="218"/>
      <c r="L15" s="218"/>
      <c r="M15" s="218"/>
      <c r="N15" s="4"/>
      <c r="O15" s="67"/>
    </row>
    <row r="16" spans="1:17" ht="8.25" customHeight="1" x14ac:dyDescent="0.25">
      <c r="A16" s="67"/>
      <c r="B16" s="4"/>
      <c r="C16" s="27"/>
      <c r="D16" s="27"/>
      <c r="E16" s="27"/>
      <c r="F16" s="27"/>
      <c r="G16" s="27"/>
      <c r="H16" s="27"/>
      <c r="I16" s="27"/>
      <c r="J16" s="27"/>
      <c r="K16" s="27"/>
      <c r="L16" s="27"/>
      <c r="M16" s="27"/>
      <c r="N16" s="4"/>
      <c r="O16" s="67"/>
    </row>
    <row r="17" spans="1:15" s="133" customFormat="1" ht="19.5" customHeight="1" x14ac:dyDescent="0.25">
      <c r="A17" s="191"/>
      <c r="B17" s="192"/>
      <c r="C17" s="194" t="s">
        <v>411</v>
      </c>
      <c r="D17" s="194"/>
      <c r="E17" s="194"/>
      <c r="F17" s="194"/>
      <c r="G17" s="194"/>
      <c r="H17" s="194"/>
      <c r="I17" s="194"/>
      <c r="J17" s="194"/>
      <c r="K17" s="194"/>
      <c r="L17" s="194"/>
      <c r="M17" s="194"/>
      <c r="N17" s="192"/>
      <c r="O17" s="191"/>
    </row>
    <row r="18" spans="1:15" ht="8.25" customHeight="1" x14ac:dyDescent="0.25">
      <c r="A18" s="67"/>
      <c r="B18" s="4"/>
      <c r="C18" s="194"/>
      <c r="D18" s="194"/>
      <c r="E18" s="194"/>
      <c r="F18" s="194"/>
      <c r="G18" s="194"/>
      <c r="H18" s="194"/>
      <c r="I18" s="194"/>
      <c r="J18" s="194"/>
      <c r="K18" s="194"/>
      <c r="L18" s="194"/>
      <c r="M18" s="194"/>
      <c r="N18" s="4"/>
      <c r="O18" s="67"/>
    </row>
    <row r="19" spans="1:15" s="133" customFormat="1" ht="19.5" customHeight="1" x14ac:dyDescent="0.25">
      <c r="A19" s="191"/>
      <c r="B19" s="192"/>
      <c r="C19" s="216" t="s">
        <v>412</v>
      </c>
      <c r="D19" s="216"/>
      <c r="E19" s="216"/>
      <c r="F19" s="216"/>
      <c r="G19" s="216"/>
      <c r="H19" s="216"/>
      <c r="I19" s="216"/>
      <c r="J19" s="216"/>
      <c r="K19" s="216"/>
      <c r="L19" s="216"/>
      <c r="M19" s="216"/>
      <c r="N19" s="192"/>
      <c r="O19" s="191"/>
    </row>
    <row r="20" spans="1:15" ht="8.25" customHeight="1" x14ac:dyDescent="0.25">
      <c r="A20" s="67"/>
      <c r="B20" s="4"/>
      <c r="C20" s="194"/>
      <c r="D20" s="194"/>
      <c r="E20" s="194"/>
      <c r="F20" s="194"/>
      <c r="G20" s="194"/>
      <c r="H20" s="194"/>
      <c r="I20" s="194"/>
      <c r="J20" s="194"/>
      <c r="K20" s="194"/>
      <c r="L20" s="194"/>
      <c r="M20" s="194"/>
      <c r="N20" s="4"/>
      <c r="O20" s="67"/>
    </row>
    <row r="21" spans="1:15" s="133" customFormat="1" ht="19.5" customHeight="1" x14ac:dyDescent="0.25">
      <c r="A21" s="191"/>
      <c r="B21" s="192"/>
      <c r="C21" s="217" t="s">
        <v>422</v>
      </c>
      <c r="D21" s="217"/>
      <c r="E21" s="217"/>
      <c r="F21" s="217"/>
      <c r="G21" s="217"/>
      <c r="H21" s="217"/>
      <c r="I21" s="217"/>
      <c r="J21" s="217"/>
      <c r="K21" s="217"/>
      <c r="L21" s="217"/>
      <c r="M21" s="217"/>
      <c r="N21" s="192"/>
      <c r="O21" s="191"/>
    </row>
    <row r="22" spans="1:15" ht="8.25" customHeight="1" x14ac:dyDescent="0.25">
      <c r="A22" s="67"/>
      <c r="B22" s="4"/>
      <c r="C22" s="194"/>
      <c r="D22" s="194"/>
      <c r="E22" s="194"/>
      <c r="F22" s="194"/>
      <c r="G22" s="194"/>
      <c r="H22" s="194"/>
      <c r="I22" s="194"/>
      <c r="J22" s="194"/>
      <c r="K22" s="194"/>
      <c r="L22" s="194"/>
      <c r="M22" s="194"/>
      <c r="N22" s="4"/>
      <c r="O22" s="67"/>
    </row>
    <row r="23" spans="1:15" ht="48" customHeight="1" x14ac:dyDescent="0.25">
      <c r="A23" s="67"/>
      <c r="B23" s="4"/>
      <c r="C23" s="215" t="s">
        <v>552</v>
      </c>
      <c r="D23" s="215"/>
      <c r="E23" s="215"/>
      <c r="F23" s="215"/>
      <c r="G23" s="215"/>
      <c r="H23" s="215"/>
      <c r="I23" s="215"/>
      <c r="J23" s="215"/>
      <c r="K23" s="215"/>
      <c r="L23" s="215"/>
      <c r="M23" s="215"/>
      <c r="N23" s="4"/>
      <c r="O23" s="67"/>
    </row>
    <row r="24" spans="1:15" ht="8.25" customHeight="1" x14ac:dyDescent="0.25">
      <c r="A24" s="67"/>
      <c r="B24" s="4"/>
      <c r="C24" s="78"/>
      <c r="D24" s="78"/>
      <c r="E24" s="78"/>
      <c r="F24" s="78"/>
      <c r="G24" s="78"/>
      <c r="H24" s="78"/>
      <c r="I24" s="78"/>
      <c r="J24" s="78"/>
      <c r="K24" s="78"/>
      <c r="L24" s="78"/>
      <c r="M24" s="78"/>
      <c r="N24" s="4"/>
      <c r="O24" s="67"/>
    </row>
    <row r="25" spans="1:15" ht="34.5" customHeight="1" x14ac:dyDescent="0.25">
      <c r="A25" s="67"/>
      <c r="B25" s="4"/>
      <c r="C25" s="215" t="s">
        <v>413</v>
      </c>
      <c r="D25" s="215"/>
      <c r="E25" s="215"/>
      <c r="F25" s="215"/>
      <c r="G25" s="215"/>
      <c r="H25" s="215"/>
      <c r="I25" s="215"/>
      <c r="J25" s="215"/>
      <c r="K25" s="215"/>
      <c r="L25" s="215"/>
      <c r="M25" s="215"/>
      <c r="N25" s="4"/>
      <c r="O25" s="67"/>
    </row>
    <row r="26" spans="1:15" ht="8.25" customHeight="1" x14ac:dyDescent="0.25">
      <c r="A26" s="67"/>
      <c r="B26" s="4"/>
      <c r="C26" s="78"/>
      <c r="D26" s="78"/>
      <c r="E26" s="78"/>
      <c r="F26" s="78"/>
      <c r="G26" s="78"/>
      <c r="H26" s="78"/>
      <c r="I26" s="78"/>
      <c r="J26" s="78"/>
      <c r="K26" s="78"/>
      <c r="L26" s="78"/>
      <c r="M26" s="78"/>
      <c r="N26" s="4"/>
      <c r="O26" s="67"/>
    </row>
    <row r="27" spans="1:15" s="133" customFormat="1" ht="34.5" customHeight="1" x14ac:dyDescent="0.25">
      <c r="A27" s="191"/>
      <c r="B27" s="192"/>
      <c r="C27" s="215" t="s">
        <v>414</v>
      </c>
      <c r="D27" s="215"/>
      <c r="E27" s="215"/>
      <c r="F27" s="215"/>
      <c r="G27" s="215"/>
      <c r="H27" s="215"/>
      <c r="I27" s="215"/>
      <c r="J27" s="215"/>
      <c r="K27" s="215"/>
      <c r="L27" s="215"/>
      <c r="M27" s="215"/>
      <c r="N27" s="192"/>
      <c r="O27" s="191"/>
    </row>
    <row r="28" spans="1:15" ht="6.75" customHeight="1" x14ac:dyDescent="0.25">
      <c r="A28" s="67"/>
      <c r="B28" s="4"/>
      <c r="C28" s="215"/>
      <c r="D28" s="215"/>
      <c r="E28" s="215"/>
      <c r="F28" s="215"/>
      <c r="G28" s="215"/>
      <c r="H28" s="215"/>
      <c r="I28" s="215"/>
      <c r="J28" s="215"/>
      <c r="K28" s="215"/>
      <c r="L28" s="215"/>
      <c r="M28" s="215"/>
      <c r="N28" s="4"/>
      <c r="O28" s="67"/>
    </row>
    <row r="29" spans="1:15" ht="44.25" customHeight="1" x14ac:dyDescent="0.25">
      <c r="A29" s="67"/>
      <c r="B29" s="4"/>
      <c r="C29" s="215" t="s">
        <v>423</v>
      </c>
      <c r="D29" s="215"/>
      <c r="E29" s="215"/>
      <c r="F29" s="215"/>
      <c r="G29" s="215"/>
      <c r="H29" s="215"/>
      <c r="I29" s="215"/>
      <c r="J29" s="215"/>
      <c r="K29" s="215"/>
      <c r="L29" s="215"/>
      <c r="M29" s="215"/>
      <c r="N29" s="4"/>
      <c r="O29" s="67"/>
    </row>
    <row r="30" spans="1:15" ht="16.5" customHeight="1" x14ac:dyDescent="0.25">
      <c r="A30" s="67"/>
      <c r="B30" s="4"/>
      <c r="C30" s="215"/>
      <c r="D30" s="215"/>
      <c r="E30" s="215"/>
      <c r="F30" s="215"/>
      <c r="G30" s="215"/>
      <c r="H30" s="215"/>
      <c r="I30" s="215"/>
      <c r="J30" s="215"/>
      <c r="K30" s="215"/>
      <c r="L30" s="215"/>
      <c r="M30" s="215"/>
      <c r="N30" s="4"/>
      <c r="O30" s="67"/>
    </row>
    <row r="31" spans="1:15" ht="50.25" customHeight="1" x14ac:dyDescent="0.25">
      <c r="A31" s="67"/>
      <c r="B31" s="4"/>
      <c r="C31" s="215" t="s">
        <v>424</v>
      </c>
      <c r="D31" s="215"/>
      <c r="E31" s="215"/>
      <c r="F31" s="215"/>
      <c r="G31" s="215"/>
      <c r="H31" s="215"/>
      <c r="I31" s="215"/>
      <c r="J31" s="215"/>
      <c r="K31" s="215"/>
      <c r="L31" s="215"/>
      <c r="M31" s="215"/>
      <c r="N31" s="4"/>
      <c r="O31" s="67"/>
    </row>
    <row r="32" spans="1:15" ht="169.5" customHeight="1" x14ac:dyDescent="0.25">
      <c r="A32" s="67"/>
      <c r="B32" s="4"/>
      <c r="C32" s="219" t="s">
        <v>559</v>
      </c>
      <c r="D32" s="219"/>
      <c r="E32" s="219"/>
      <c r="F32" s="219"/>
      <c r="G32" s="219"/>
      <c r="H32" s="219"/>
      <c r="I32" s="219"/>
      <c r="J32" s="219"/>
      <c r="K32" s="219"/>
      <c r="L32" s="219"/>
      <c r="M32" s="219"/>
      <c r="N32" s="27"/>
      <c r="O32" s="67"/>
    </row>
    <row r="33" spans="1:15" x14ac:dyDescent="0.25">
      <c r="A33" s="67"/>
      <c r="B33" s="67"/>
      <c r="C33" s="67"/>
      <c r="D33" s="67"/>
      <c r="E33" s="67"/>
      <c r="F33" s="67"/>
      <c r="G33" s="67"/>
      <c r="H33" s="67"/>
      <c r="I33" s="67"/>
      <c r="J33" s="67"/>
      <c r="K33" s="67"/>
      <c r="L33" s="67"/>
      <c r="M33" s="67"/>
      <c r="N33" s="67"/>
      <c r="O33" s="67"/>
    </row>
    <row r="34" spans="1:15" ht="16.5" customHeight="1" x14ac:dyDescent="0.25"/>
    <row r="35" spans="1:15" ht="16.5" customHeight="1" x14ac:dyDescent="0.25"/>
    <row r="36" spans="1:15" ht="16.5" customHeight="1" x14ac:dyDescent="0.25"/>
    <row r="37" spans="1:15" ht="16.5" customHeight="1" x14ac:dyDescent="0.25"/>
    <row r="38" spans="1:15" ht="16.5" customHeight="1" x14ac:dyDescent="0.25"/>
    <row r="39" spans="1:15" ht="16.5" customHeight="1" x14ac:dyDescent="0.25"/>
    <row r="40" spans="1:15" ht="16.5" customHeight="1" x14ac:dyDescent="0.25"/>
    <row r="41" spans="1:15" ht="16.5" customHeight="1" x14ac:dyDescent="0.25"/>
    <row r="42" spans="1:15" ht="16.5" customHeight="1" x14ac:dyDescent="0.25"/>
    <row r="43" spans="1:15" ht="16.5" customHeight="1" x14ac:dyDescent="0.25"/>
    <row r="44" spans="1:15" ht="16.5" customHeight="1" x14ac:dyDescent="0.25"/>
    <row r="45" spans="1:15" ht="16.5" customHeight="1" x14ac:dyDescent="0.25"/>
    <row r="46" spans="1:15" ht="16.5" customHeight="1" x14ac:dyDescent="0.25"/>
    <row r="47" spans="1:15" ht="16.5" customHeight="1" x14ac:dyDescent="0.25"/>
    <row r="48" spans="1:15" ht="16.5" customHeight="1" x14ac:dyDescent="0.25"/>
    <row r="49" ht="16.5" customHeight="1" x14ac:dyDescent="0.25"/>
    <row r="50" ht="16.5" customHeight="1" x14ac:dyDescent="0.25"/>
    <row r="67" spans="4:16" ht="3" customHeight="1" x14ac:dyDescent="0.25">
      <c r="D67" s="45"/>
      <c r="E67" s="45"/>
      <c r="F67" s="45"/>
      <c r="G67" s="45"/>
      <c r="H67" s="45"/>
      <c r="I67" s="45"/>
      <c r="J67" s="45"/>
      <c r="K67" s="45"/>
      <c r="L67" s="45"/>
      <c r="M67" s="45"/>
      <c r="N67" s="45"/>
      <c r="O67" s="45"/>
      <c r="P67" s="45"/>
    </row>
  </sheetData>
  <mergeCells count="20">
    <mergeCell ref="C27:M27"/>
    <mergeCell ref="C32:M32"/>
    <mergeCell ref="C28:M28"/>
    <mergeCell ref="C30:M30"/>
    <mergeCell ref="C29:M29"/>
    <mergeCell ref="C31:M31"/>
    <mergeCell ref="B2:N2"/>
    <mergeCell ref="C4:M4"/>
    <mergeCell ref="C19:M19"/>
    <mergeCell ref="C21:M21"/>
    <mergeCell ref="C25:M25"/>
    <mergeCell ref="C23:M23"/>
    <mergeCell ref="C15:M15"/>
    <mergeCell ref="C6:M6"/>
    <mergeCell ref="D7:M7"/>
    <mergeCell ref="D8:M8"/>
    <mergeCell ref="D9:M9"/>
    <mergeCell ref="D10:M10"/>
    <mergeCell ref="D11:M11"/>
    <mergeCell ref="C13:M13"/>
  </mergeCells>
  <hyperlinks>
    <hyperlink ref="C21:M21" r:id="rId1" display="The CIA User Guide can be found here. "/>
  </hyperlinks>
  <pageMargins left="0.70866141732283472" right="0.70866141732283472" top="0.74803149606299213" bottom="0.74803149606299213" header="0.31496062992125984" footer="0.31496062992125984"/>
  <pageSetup orientation="landscape"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sheetPr>
  <dimension ref="A1:E32"/>
  <sheetViews>
    <sheetView showGridLines="0" zoomScaleNormal="100" workbookViewId="0">
      <selection activeCell="C4" sqref="C4"/>
    </sheetView>
  </sheetViews>
  <sheetFormatPr defaultColWidth="9.140625" defaultRowHeight="15" x14ac:dyDescent="0.25"/>
  <cols>
    <col min="1" max="1" width="2.85546875" customWidth="1"/>
    <col min="2" max="2" width="3.5703125" customWidth="1"/>
    <col min="3" max="3" width="98.5703125" customWidth="1"/>
    <col min="4" max="4" width="3.5703125" customWidth="1"/>
    <col min="5" max="5" width="2.5703125" customWidth="1"/>
  </cols>
  <sheetData>
    <row r="1" spans="1:5" x14ac:dyDescent="0.25">
      <c r="A1" s="67"/>
      <c r="B1" s="67"/>
      <c r="C1" s="67"/>
      <c r="D1" s="67"/>
      <c r="E1" s="67"/>
    </row>
    <row r="2" spans="1:5" ht="31.5" customHeight="1" x14ac:dyDescent="0.25">
      <c r="A2" s="67"/>
      <c r="B2" s="48"/>
      <c r="C2" s="70" t="s">
        <v>278</v>
      </c>
      <c r="D2" s="48"/>
      <c r="E2" s="67"/>
    </row>
    <row r="3" spans="1:5" ht="15.75" x14ac:dyDescent="0.25">
      <c r="A3" s="67"/>
      <c r="B3" s="48"/>
      <c r="C3" s="46" t="s">
        <v>354</v>
      </c>
      <c r="D3" s="48"/>
      <c r="E3" s="67"/>
    </row>
    <row r="4" spans="1:5" x14ac:dyDescent="0.25">
      <c r="A4" s="67"/>
      <c r="B4" s="48"/>
      <c r="C4" s="21"/>
      <c r="D4" s="48"/>
      <c r="E4" s="67"/>
    </row>
    <row r="5" spans="1:5" ht="8.25" customHeight="1" x14ac:dyDescent="0.25">
      <c r="A5" s="67"/>
      <c r="B5" s="48"/>
      <c r="C5" s="48"/>
      <c r="D5" s="48"/>
      <c r="E5" s="67"/>
    </row>
    <row r="6" spans="1:5" ht="15.75" x14ac:dyDescent="0.25">
      <c r="A6" s="67"/>
      <c r="B6" s="48"/>
      <c r="C6" s="46" t="s">
        <v>276</v>
      </c>
      <c r="D6" s="48"/>
      <c r="E6" s="67"/>
    </row>
    <row r="7" spans="1:5" x14ac:dyDescent="0.25">
      <c r="A7" s="67"/>
      <c r="B7" s="48"/>
      <c r="C7" s="22"/>
      <c r="D7" s="48"/>
      <c r="E7" s="67"/>
    </row>
    <row r="8" spans="1:5" ht="8.25" customHeight="1" x14ac:dyDescent="0.25">
      <c r="A8" s="67"/>
      <c r="B8" s="48"/>
      <c r="C8" s="48"/>
      <c r="D8" s="48"/>
      <c r="E8" s="67"/>
    </row>
    <row r="9" spans="1:5" ht="18.75" customHeight="1" x14ac:dyDescent="0.25">
      <c r="A9" s="67"/>
      <c r="B9" s="48"/>
      <c r="C9" s="46" t="s">
        <v>258</v>
      </c>
      <c r="D9" s="48"/>
      <c r="E9" s="67"/>
    </row>
    <row r="10" spans="1:5" ht="154.5" customHeight="1" x14ac:dyDescent="0.25">
      <c r="A10" s="67"/>
      <c r="B10" s="48"/>
      <c r="C10" s="23"/>
      <c r="D10" s="48"/>
      <c r="E10" s="67"/>
    </row>
    <row r="11" spans="1:5" ht="8.25" customHeight="1" x14ac:dyDescent="0.25">
      <c r="A11" s="67"/>
      <c r="B11" s="48"/>
      <c r="C11" s="48"/>
      <c r="D11" s="48"/>
      <c r="E11" s="67"/>
    </row>
    <row r="12" spans="1:5" ht="15.75" x14ac:dyDescent="0.25">
      <c r="A12" s="67"/>
      <c r="B12" s="48"/>
      <c r="C12" s="46" t="s">
        <v>352</v>
      </c>
      <c r="D12" s="48"/>
      <c r="E12" s="67"/>
    </row>
    <row r="13" spans="1:5" x14ac:dyDescent="0.25">
      <c r="A13" s="67"/>
      <c r="B13" s="48"/>
      <c r="C13" s="23"/>
      <c r="D13" s="48"/>
      <c r="E13" s="67"/>
    </row>
    <row r="14" spans="1:5" ht="8.25" customHeight="1" x14ac:dyDescent="0.25">
      <c r="A14" s="67"/>
      <c r="B14" s="48"/>
      <c r="C14" s="48"/>
      <c r="D14" s="48"/>
      <c r="E14" s="67"/>
    </row>
    <row r="15" spans="1:5" ht="17.25" customHeight="1" x14ac:dyDescent="0.25">
      <c r="A15" s="67"/>
      <c r="B15" s="48"/>
      <c r="C15" s="46" t="s">
        <v>353</v>
      </c>
      <c r="D15" s="48"/>
      <c r="E15" s="67"/>
    </row>
    <row r="16" spans="1:5" x14ac:dyDescent="0.25">
      <c r="A16" s="67"/>
      <c r="B16" s="48"/>
      <c r="C16" s="23"/>
      <c r="D16" s="48"/>
      <c r="E16" s="67"/>
    </row>
    <row r="17" spans="1:5" ht="20.25" customHeight="1" x14ac:dyDescent="0.25">
      <c r="A17" s="67"/>
      <c r="B17" s="48"/>
      <c r="C17" s="46" t="s">
        <v>257</v>
      </c>
      <c r="D17" s="48"/>
      <c r="E17" s="67"/>
    </row>
    <row r="18" spans="1:5" ht="15.75" x14ac:dyDescent="0.25">
      <c r="A18" s="67"/>
      <c r="B18" s="48"/>
      <c r="C18" s="47" t="s">
        <v>277</v>
      </c>
      <c r="D18" s="48"/>
      <c r="E18" s="67"/>
    </row>
    <row r="19" spans="1:5" x14ac:dyDescent="0.25">
      <c r="A19" s="67"/>
      <c r="B19" s="48"/>
      <c r="C19" s="23"/>
      <c r="D19" s="48"/>
      <c r="E19" s="67"/>
    </row>
    <row r="20" spans="1:5" ht="31.5" x14ac:dyDescent="0.25">
      <c r="A20" s="67"/>
      <c r="B20" s="48"/>
      <c r="C20" s="71" t="s">
        <v>579</v>
      </c>
      <c r="D20" s="48"/>
      <c r="E20" s="67"/>
    </row>
    <row r="21" spans="1:5" ht="96.75" customHeight="1" x14ac:dyDescent="0.25">
      <c r="A21" s="67"/>
      <c r="B21" s="48"/>
      <c r="C21" s="24"/>
      <c r="D21" s="48"/>
      <c r="E21" s="67"/>
    </row>
    <row r="22" spans="1:5" ht="8.25" customHeight="1" x14ac:dyDescent="0.25">
      <c r="A22" s="67"/>
      <c r="B22" s="48"/>
      <c r="C22" s="48"/>
      <c r="D22" s="48"/>
      <c r="E22" s="67"/>
    </row>
    <row r="23" spans="1:5" ht="15.75" x14ac:dyDescent="0.25">
      <c r="A23" s="67"/>
      <c r="B23" s="48"/>
      <c r="C23" s="46" t="s">
        <v>261</v>
      </c>
      <c r="D23" s="48"/>
      <c r="E23" s="67"/>
    </row>
    <row r="24" spans="1:5" x14ac:dyDescent="0.25">
      <c r="A24" s="67"/>
      <c r="B24" s="48"/>
      <c r="C24" s="24"/>
      <c r="D24" s="48"/>
      <c r="E24" s="67"/>
    </row>
    <row r="25" spans="1:5" ht="8.25" customHeight="1" x14ac:dyDescent="0.25">
      <c r="A25" s="67"/>
      <c r="B25" s="48"/>
      <c r="C25" s="48"/>
      <c r="D25" s="48"/>
      <c r="E25" s="67"/>
    </row>
    <row r="26" spans="1:5" ht="15.75" x14ac:dyDescent="0.25">
      <c r="A26" s="67"/>
      <c r="B26" s="48"/>
      <c r="C26" s="46" t="s">
        <v>259</v>
      </c>
      <c r="D26" s="48"/>
      <c r="E26" s="67"/>
    </row>
    <row r="27" spans="1:5" ht="126.75" customHeight="1" x14ac:dyDescent="0.25">
      <c r="A27" s="67"/>
      <c r="B27" s="48"/>
      <c r="C27" s="23"/>
      <c r="D27" s="48"/>
      <c r="E27" s="67"/>
    </row>
    <row r="28" spans="1:5" ht="8.25" customHeight="1" x14ac:dyDescent="0.25">
      <c r="A28" s="67"/>
      <c r="B28" s="48"/>
      <c r="C28" s="48"/>
      <c r="D28" s="48"/>
      <c r="E28" s="67"/>
    </row>
    <row r="29" spans="1:5" ht="15.75" x14ac:dyDescent="0.25">
      <c r="A29" s="67"/>
      <c r="B29" s="48"/>
      <c r="C29" s="46" t="s">
        <v>260</v>
      </c>
      <c r="D29" s="48"/>
      <c r="E29" s="67"/>
    </row>
    <row r="30" spans="1:5" ht="33.950000000000003" customHeight="1" x14ac:dyDescent="0.25">
      <c r="A30" s="67"/>
      <c r="B30" s="48"/>
      <c r="C30" s="25"/>
      <c r="D30" s="48"/>
      <c r="E30" s="67"/>
    </row>
    <row r="31" spans="1:5" x14ac:dyDescent="0.25">
      <c r="A31" s="67"/>
      <c r="B31" s="48"/>
      <c r="C31" s="48"/>
      <c r="D31" s="48"/>
      <c r="E31" s="67"/>
    </row>
    <row r="32" spans="1:5" ht="17.25" customHeight="1" x14ac:dyDescent="0.25">
      <c r="A32" s="67"/>
      <c r="B32" s="220" t="s">
        <v>275</v>
      </c>
      <c r="C32" s="220"/>
      <c r="D32" s="220"/>
      <c r="E32" s="67"/>
    </row>
  </sheetData>
  <mergeCells count="1">
    <mergeCell ref="B32:D32"/>
  </mergeCells>
  <dataValidations count="1">
    <dataValidation type="date" allowBlank="1" showInputMessage="1" showErrorMessage="1" sqref="C24">
      <formula1>44197</formula1>
      <formula2>401769</formula2>
    </dataValidation>
  </dataValidations>
  <pageMargins left="0.7" right="0.7" top="0.75" bottom="0.75" header="0.3" footer="0.3"/>
  <pageSetup scale="62"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'Drop downs'!$O$2:$O$7</xm:f>
          </x14:formula1>
          <xm:sqref>C7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G31"/>
  <sheetViews>
    <sheetView zoomScale="115" zoomScaleNormal="115" workbookViewId="0">
      <selection activeCell="E6" sqref="E6"/>
    </sheetView>
  </sheetViews>
  <sheetFormatPr defaultRowHeight="15" x14ac:dyDescent="0.25"/>
  <cols>
    <col min="1" max="1" width="3.140625" customWidth="1"/>
    <col min="2" max="2" width="1.85546875" customWidth="1"/>
    <col min="3" max="3" width="31.42578125" customWidth="1"/>
    <col min="4" max="4" width="48" customWidth="1"/>
    <col min="5" max="5" width="33" customWidth="1"/>
    <col min="6" max="6" width="1.7109375" customWidth="1"/>
    <col min="7" max="7" width="3.28515625" customWidth="1"/>
  </cols>
  <sheetData>
    <row r="1" spans="1:7" ht="12" customHeight="1" x14ac:dyDescent="0.25">
      <c r="A1" s="72"/>
      <c r="B1" s="72"/>
      <c r="C1" s="73"/>
      <c r="D1" s="73"/>
      <c r="E1" s="73"/>
      <c r="F1" s="73"/>
      <c r="G1" s="72"/>
    </row>
    <row r="2" spans="1:7" ht="27" customHeight="1" x14ac:dyDescent="0.35">
      <c r="A2" s="72"/>
      <c r="B2" s="51"/>
      <c r="C2" s="55" t="s">
        <v>267</v>
      </c>
      <c r="D2" s="49"/>
      <c r="E2" s="49"/>
      <c r="F2" s="49"/>
      <c r="G2" s="72"/>
    </row>
    <row r="3" spans="1:7" ht="27" customHeight="1" x14ac:dyDescent="0.25">
      <c r="A3" s="72"/>
      <c r="B3" s="51"/>
      <c r="C3" s="128" t="s">
        <v>279</v>
      </c>
      <c r="D3" s="49"/>
      <c r="E3" s="49"/>
      <c r="F3" s="49"/>
      <c r="G3" s="72"/>
    </row>
    <row r="4" spans="1:7" s="133" customFormat="1" ht="18.75" customHeight="1" x14ac:dyDescent="0.25">
      <c r="A4" s="131"/>
      <c r="B4" s="131"/>
      <c r="C4" s="132" t="s">
        <v>334</v>
      </c>
      <c r="D4" s="132"/>
      <c r="E4" s="132"/>
      <c r="F4" s="132"/>
      <c r="G4" s="131"/>
    </row>
    <row r="5" spans="1:7" s="60" customFormat="1" ht="24.75" customHeight="1" x14ac:dyDescent="0.35">
      <c r="A5" s="112"/>
      <c r="B5" s="177"/>
      <c r="C5" s="178" t="s">
        <v>331</v>
      </c>
      <c r="D5" s="178"/>
      <c r="E5" s="175" t="s">
        <v>270</v>
      </c>
      <c r="F5" s="55"/>
      <c r="G5" s="112"/>
    </row>
    <row r="6" spans="1:7" ht="33" customHeight="1" x14ac:dyDescent="0.25">
      <c r="A6" s="72"/>
      <c r="B6" s="51"/>
      <c r="C6" s="231" t="s">
        <v>332</v>
      </c>
      <c r="D6" s="231"/>
      <c r="E6" s="127"/>
      <c r="F6" s="49"/>
      <c r="G6" s="72"/>
    </row>
    <row r="7" spans="1:7" ht="33.75" customHeight="1" x14ac:dyDescent="0.25">
      <c r="A7" s="72"/>
      <c r="B7" s="51"/>
      <c r="C7" s="231" t="s">
        <v>387</v>
      </c>
      <c r="D7" s="231"/>
      <c r="E7" s="127"/>
      <c r="F7" s="49"/>
      <c r="G7" s="72"/>
    </row>
    <row r="8" spans="1:7" ht="21" customHeight="1" x14ac:dyDescent="0.25">
      <c r="A8" s="72"/>
      <c r="B8" s="51"/>
      <c r="C8" s="232" t="s">
        <v>553</v>
      </c>
      <c r="D8" s="232"/>
      <c r="E8" s="127"/>
      <c r="F8" s="49"/>
      <c r="G8" s="72"/>
    </row>
    <row r="9" spans="1:7" ht="18" customHeight="1" x14ac:dyDescent="0.25">
      <c r="A9" s="72"/>
      <c r="B9" s="51"/>
      <c r="C9" s="231" t="s">
        <v>558</v>
      </c>
      <c r="D9" s="231"/>
      <c r="E9" s="127"/>
      <c r="F9" s="49"/>
      <c r="G9" s="72"/>
    </row>
    <row r="10" spans="1:7" ht="33.75" customHeight="1" x14ac:dyDescent="0.25">
      <c r="A10" s="72"/>
      <c r="B10" s="51"/>
      <c r="C10" s="231" t="s">
        <v>565</v>
      </c>
      <c r="D10" s="231"/>
      <c r="E10" s="127"/>
      <c r="F10" s="49"/>
      <c r="G10" s="72"/>
    </row>
    <row r="11" spans="1:7" ht="30.75" customHeight="1" x14ac:dyDescent="0.25">
      <c r="A11" s="72"/>
      <c r="B11" s="51"/>
      <c r="C11" s="228" t="s">
        <v>554</v>
      </c>
      <c r="D11" s="228"/>
      <c r="E11" s="127"/>
      <c r="F11" s="49"/>
      <c r="G11" s="72"/>
    </row>
    <row r="12" spans="1:7" ht="30.75" customHeight="1" x14ac:dyDescent="0.25">
      <c r="A12" s="72"/>
      <c r="B12" s="51"/>
      <c r="C12" s="228" t="s">
        <v>333</v>
      </c>
      <c r="D12" s="228"/>
      <c r="E12" s="127"/>
      <c r="F12" s="49"/>
      <c r="G12" s="72"/>
    </row>
    <row r="13" spans="1:7" ht="15.75" customHeight="1" x14ac:dyDescent="0.25">
      <c r="A13" s="72"/>
      <c r="B13" s="51"/>
      <c r="C13" s="129"/>
      <c r="D13" s="129"/>
      <c r="E13" s="76"/>
      <c r="F13" s="49"/>
      <c r="G13" s="72"/>
    </row>
    <row r="14" spans="1:7" ht="15.75" x14ac:dyDescent="0.25">
      <c r="A14" s="72"/>
      <c r="B14" s="51"/>
      <c r="C14" s="66" t="s">
        <v>263</v>
      </c>
      <c r="D14" s="229" t="str">
        <f>FORMULAS!D3</f>
        <v>EXCEPTIONS SECTION INCOMPLETE</v>
      </c>
      <c r="E14" s="229"/>
      <c r="F14" s="50"/>
      <c r="G14" s="72"/>
    </row>
    <row r="15" spans="1:7" ht="16.5" customHeight="1" x14ac:dyDescent="0.25">
      <c r="A15" s="72"/>
      <c r="B15" s="51"/>
      <c r="C15" s="129"/>
      <c r="D15" s="230" t="s">
        <v>363</v>
      </c>
      <c r="E15" s="230"/>
      <c r="F15" s="49"/>
      <c r="G15" s="72"/>
    </row>
    <row r="16" spans="1:7" s="133" customFormat="1" ht="18.75" customHeight="1" x14ac:dyDescent="0.25">
      <c r="A16" s="131"/>
      <c r="B16" s="131"/>
      <c r="C16" s="134" t="s">
        <v>335</v>
      </c>
      <c r="D16" s="135"/>
      <c r="E16" s="130"/>
      <c r="F16" s="132"/>
      <c r="G16" s="131"/>
    </row>
    <row r="17" spans="1:7" s="176" customFormat="1" ht="24.75" customHeight="1" x14ac:dyDescent="0.25">
      <c r="A17" s="172"/>
      <c r="B17" s="173"/>
      <c r="C17" s="174" t="s">
        <v>268</v>
      </c>
      <c r="D17" s="174"/>
      <c r="E17" s="175" t="s">
        <v>270</v>
      </c>
      <c r="F17" s="175"/>
      <c r="G17" s="172"/>
    </row>
    <row r="18" spans="1:7" s="42" customFormat="1" ht="35.25" customHeight="1" x14ac:dyDescent="0.25">
      <c r="A18" s="74"/>
      <c r="B18" s="52"/>
      <c r="C18" s="226" t="s">
        <v>556</v>
      </c>
      <c r="D18" s="227"/>
      <c r="E18" s="54"/>
      <c r="F18" s="76"/>
      <c r="G18" s="74"/>
    </row>
    <row r="19" spans="1:7" s="42" customFormat="1" ht="40.5" customHeight="1" x14ac:dyDescent="0.25">
      <c r="A19" s="74"/>
      <c r="B19" s="52"/>
      <c r="C19" s="226" t="s">
        <v>557</v>
      </c>
      <c r="D19" s="227"/>
      <c r="E19" s="54"/>
      <c r="F19" s="76"/>
      <c r="G19" s="74"/>
    </row>
    <row r="20" spans="1:7" s="42" customFormat="1" ht="87.75" customHeight="1" x14ac:dyDescent="0.25">
      <c r="A20" s="74"/>
      <c r="B20" s="52"/>
      <c r="C20" s="226" t="s">
        <v>269</v>
      </c>
      <c r="D20" s="227"/>
      <c r="E20" s="54"/>
      <c r="F20" s="76"/>
      <c r="G20" s="74"/>
    </row>
    <row r="21" spans="1:7" s="42" customFormat="1" ht="39.75" customHeight="1" x14ac:dyDescent="0.25">
      <c r="A21" s="74"/>
      <c r="B21" s="52"/>
      <c r="C21" s="226" t="s">
        <v>383</v>
      </c>
      <c r="D21" s="227"/>
      <c r="E21" s="54"/>
      <c r="F21" s="76"/>
      <c r="G21" s="74"/>
    </row>
    <row r="22" spans="1:7" ht="15.75" x14ac:dyDescent="0.25">
      <c r="A22" s="72"/>
      <c r="B22" s="51"/>
      <c r="C22" s="50"/>
      <c r="D22" s="50"/>
      <c r="E22" s="50"/>
      <c r="F22" s="50"/>
      <c r="G22" s="72"/>
    </row>
    <row r="23" spans="1:7" ht="15.75" x14ac:dyDescent="0.25">
      <c r="A23" s="72"/>
      <c r="B23" s="51"/>
      <c r="C23" s="66" t="s">
        <v>263</v>
      </c>
      <c r="D23" s="225" t="str">
        <f>FORMULAS!D5</f>
        <v>THRESHOLDS SECTION INCOMPLETE</v>
      </c>
      <c r="E23" s="225"/>
      <c r="F23" s="50"/>
      <c r="G23" s="72"/>
    </row>
    <row r="24" spans="1:7" ht="45.75" customHeight="1" x14ac:dyDescent="0.25">
      <c r="A24" s="72"/>
      <c r="B24" s="51"/>
      <c r="C24" s="224" t="s">
        <v>280</v>
      </c>
      <c r="D24" s="224"/>
      <c r="E24" s="224"/>
      <c r="F24" s="53"/>
      <c r="G24" s="72"/>
    </row>
    <row r="25" spans="1:7" s="3" customFormat="1" ht="15.75" x14ac:dyDescent="0.25">
      <c r="A25" s="75"/>
      <c r="B25" s="75"/>
      <c r="C25" s="136" t="s">
        <v>274</v>
      </c>
      <c r="D25" s="136"/>
      <c r="E25" s="136"/>
      <c r="F25" s="136"/>
      <c r="G25" s="75"/>
    </row>
    <row r="26" spans="1:7" ht="44.25" customHeight="1" x14ac:dyDescent="0.25">
      <c r="A26" s="72"/>
      <c r="B26" s="51"/>
      <c r="C26" s="224" t="s">
        <v>425</v>
      </c>
      <c r="D26" s="224"/>
      <c r="E26" s="224"/>
      <c r="F26" s="53"/>
      <c r="G26" s="72"/>
    </row>
    <row r="27" spans="1:7" ht="21" customHeight="1" x14ac:dyDescent="0.25">
      <c r="A27" s="72"/>
      <c r="B27" s="51"/>
      <c r="C27" s="50" t="s">
        <v>273</v>
      </c>
      <c r="D27" s="50"/>
      <c r="E27" s="50"/>
      <c r="F27" s="50"/>
      <c r="G27" s="72"/>
    </row>
    <row r="28" spans="1:7" ht="5.25" customHeight="1" x14ac:dyDescent="0.25">
      <c r="A28" s="72"/>
      <c r="B28" s="51"/>
      <c r="C28" s="51"/>
      <c r="D28" s="51"/>
      <c r="E28" s="51"/>
      <c r="F28" s="51"/>
      <c r="G28" s="72"/>
    </row>
    <row r="29" spans="1:7" ht="194.25" customHeight="1" x14ac:dyDescent="0.25">
      <c r="A29" s="72"/>
      <c r="B29" s="51"/>
      <c r="C29" s="221"/>
      <c r="D29" s="222"/>
      <c r="E29" s="223"/>
      <c r="F29" s="77"/>
      <c r="G29" s="72"/>
    </row>
    <row r="30" spans="1:7" x14ac:dyDescent="0.25">
      <c r="A30" s="72"/>
      <c r="B30" s="51"/>
      <c r="C30" s="51"/>
      <c r="D30" s="51"/>
      <c r="E30" s="51"/>
      <c r="F30" s="51"/>
      <c r="G30" s="72"/>
    </row>
    <row r="31" spans="1:7" x14ac:dyDescent="0.25">
      <c r="A31" s="72"/>
      <c r="B31" s="72"/>
      <c r="C31" s="72"/>
      <c r="D31" s="72"/>
      <c r="E31" s="72"/>
      <c r="F31" s="72"/>
      <c r="G31" s="72"/>
    </row>
  </sheetData>
  <mergeCells count="17">
    <mergeCell ref="C11:D11"/>
    <mergeCell ref="C12:D12"/>
    <mergeCell ref="D14:E14"/>
    <mergeCell ref="D15:E15"/>
    <mergeCell ref="C6:D6"/>
    <mergeCell ref="C7:D7"/>
    <mergeCell ref="C10:D10"/>
    <mergeCell ref="C8:D8"/>
    <mergeCell ref="C9:D9"/>
    <mergeCell ref="C29:E29"/>
    <mergeCell ref="C26:E26"/>
    <mergeCell ref="C24:E24"/>
    <mergeCell ref="D23:E23"/>
    <mergeCell ref="C18:D18"/>
    <mergeCell ref="C19:D19"/>
    <mergeCell ref="C20:D20"/>
    <mergeCell ref="C21:D21"/>
  </mergeCells>
  <conditionalFormatting sqref="D14">
    <cfRule type="cellIs" dxfId="98" priority="15" operator="equal">
      <formula>"No CIA needed"</formula>
    </cfRule>
    <cfRule type="cellIs" dxfId="97" priority="16" operator="equal">
      <formula>"Proceed to thresholds section below"</formula>
    </cfRule>
    <cfRule type="cellIs" dxfId="96" priority="17" operator="equal">
      <formula>"EXCEPTIONS SECTION INCOMPLETE"</formula>
    </cfRule>
    <cfRule type="cellIs" dxfId="95" priority="18" operator="equal">
      <formula>"CIA REQUIRED"</formula>
    </cfRule>
    <cfRule type="cellIs" dxfId="94" priority="19" operator="equal">
      <formula>"NO CIA REQUIRED"</formula>
    </cfRule>
  </conditionalFormatting>
  <conditionalFormatting sqref="D23">
    <cfRule type="cellIs" dxfId="93" priority="7" operator="equal">
      <formula>"SCREENING INCOMPLETE"</formula>
    </cfRule>
    <cfRule type="cellIs" dxfId="92" priority="8" operator="equal">
      <formula>"CIA REQUIRED"</formula>
    </cfRule>
    <cfRule type="cellIs" dxfId="91" priority="9" operator="equal">
      <formula>"NO CIA REQUIRED"</formula>
    </cfRule>
  </conditionalFormatting>
  <conditionalFormatting sqref="D14:E14">
    <cfRule type="containsText" dxfId="90" priority="2" operator="containsText" text="NO CIA Required">
      <formula>NOT(ISERROR(SEARCH("NO CIA Required",D14)))</formula>
    </cfRule>
    <cfRule type="cellIs" dxfId="89" priority="10" operator="equal">
      <formula>"NO EXCEPTION/S APPLY - PROCEED TO THRESHOLDS SECTION"</formula>
    </cfRule>
    <cfRule type="cellIs" dxfId="88" priority="13" operator="equal">
      <formula>"EXCEPTIONS SECTION INCOMPLETE"</formula>
    </cfRule>
    <cfRule type="cellIs" dxfId="87" priority="14" operator="equal">
      <formula>"no cia required"</formula>
    </cfRule>
  </conditionalFormatting>
  <conditionalFormatting sqref="D23:E23">
    <cfRule type="containsText" dxfId="86" priority="1" operator="containsText" text="incomplete">
      <formula>NOT(ISERROR(SEARCH("incomplete",D23)))</formula>
    </cfRule>
    <cfRule type="containsText" dxfId="85" priority="3" operator="containsText" text="exception">
      <formula>NOT(ISERROR(SEARCH("exception",D23)))</formula>
    </cfRule>
    <cfRule type="cellIs" dxfId="84" priority="6" operator="equal">
      <formula>"EXCEPTIONS SECTION INCOMPLETE"</formula>
    </cfRule>
  </conditionalFormatting>
  <conditionalFormatting sqref="E6:E12">
    <cfRule type="cellIs" dxfId="83" priority="4" operator="equal">
      <formula>"Yes"</formula>
    </cfRule>
    <cfRule type="cellIs" dxfId="82" priority="5" operator="equal">
      <formula>"No"</formula>
    </cfRule>
  </conditionalFormatting>
  <conditionalFormatting sqref="E16 E18:F21">
    <cfRule type="cellIs" dxfId="81" priority="29" operator="equal">
      <formula>"No"</formula>
    </cfRule>
    <cfRule type="cellIs" dxfId="80" priority="30" operator="equal">
      <formula>"Yes"</formula>
    </cfRule>
  </conditionalFormatting>
  <dataValidations count="1">
    <dataValidation type="list" allowBlank="1" showInputMessage="1" showErrorMessage="1" sqref="E18:F21 E6:E13 E16">
      <formula1>"Yes,No"</formula1>
    </dataValidation>
  </dataValidations>
  <pageMargins left="0.7" right="0.7" top="0.75" bottom="0.75" header="0.3" footer="0.3"/>
  <pageSetup paperSize="9" scale="71"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X219"/>
  <sheetViews>
    <sheetView topLeftCell="A82" zoomScaleNormal="100" workbookViewId="0">
      <selection activeCell="C95" sqref="C95:G95"/>
    </sheetView>
  </sheetViews>
  <sheetFormatPr defaultColWidth="9.140625" defaultRowHeight="15" x14ac:dyDescent="0.25"/>
  <cols>
    <col min="1" max="1" width="3.140625" customWidth="1"/>
    <col min="2" max="2" width="4.140625" customWidth="1"/>
    <col min="3" max="6" width="11.85546875" customWidth="1"/>
    <col min="7" max="7" width="23.5703125" customWidth="1"/>
    <col min="8" max="10" width="11.85546875" customWidth="1"/>
    <col min="11" max="11" width="3.7109375" customWidth="1"/>
    <col min="12" max="12" width="17.85546875" hidden="1" customWidth="1"/>
    <col min="13" max="13" width="4.42578125" customWidth="1"/>
    <col min="14" max="14" width="52.85546875" style="93" customWidth="1"/>
    <col min="15" max="15" width="53.5703125" style="93" customWidth="1"/>
    <col min="16" max="16" width="6.85546875" style="4" customWidth="1"/>
    <col min="17" max="17" width="3.5703125" style="4" customWidth="1"/>
    <col min="18" max="22" width="9.140625" style="4"/>
  </cols>
  <sheetData>
    <row r="1" spans="1:21" x14ac:dyDescent="0.25">
      <c r="A1" s="72"/>
      <c r="B1" s="72"/>
      <c r="C1" s="72"/>
      <c r="D1" s="72"/>
      <c r="E1" s="72"/>
      <c r="F1" s="72"/>
      <c r="G1" s="72"/>
      <c r="H1" s="72"/>
      <c r="I1" s="72"/>
      <c r="J1" s="72"/>
      <c r="K1" s="72"/>
      <c r="M1" s="72"/>
      <c r="N1" s="4"/>
      <c r="O1" s="4"/>
    </row>
    <row r="2" spans="1:21" ht="51" customHeight="1" x14ac:dyDescent="0.25">
      <c r="A2" s="72"/>
      <c r="B2" s="236" t="s">
        <v>266</v>
      </c>
      <c r="C2" s="236"/>
      <c r="D2" s="236"/>
      <c r="E2" s="236"/>
      <c r="F2" s="236"/>
      <c r="G2" s="236"/>
      <c r="H2" s="4"/>
      <c r="I2" s="4"/>
      <c r="J2" s="4"/>
      <c r="K2" s="4"/>
      <c r="M2" s="72"/>
      <c r="N2" s="4"/>
      <c r="O2" s="4"/>
    </row>
    <row r="3" spans="1:21" ht="28.5" customHeight="1" x14ac:dyDescent="0.25">
      <c r="A3" s="72"/>
      <c r="B3" s="238" t="s">
        <v>299</v>
      </c>
      <c r="C3" s="238"/>
      <c r="D3" s="238"/>
      <c r="E3" s="238"/>
      <c r="F3" s="238"/>
      <c r="G3" s="238"/>
      <c r="H3" s="238"/>
      <c r="I3" s="238"/>
      <c r="J3" s="238"/>
      <c r="K3" s="238"/>
      <c r="L3" s="72"/>
      <c r="M3" s="72"/>
      <c r="N3" s="4"/>
      <c r="O3" s="4"/>
    </row>
    <row r="4" spans="1:21" ht="9.75" customHeight="1" x14ac:dyDescent="0.25">
      <c r="A4" s="72"/>
      <c r="B4" s="115"/>
      <c r="C4" s="115"/>
      <c r="D4" s="115"/>
      <c r="E4" s="115"/>
      <c r="F4" s="115"/>
      <c r="G4" s="115"/>
      <c r="H4" s="115"/>
      <c r="I4" s="115"/>
      <c r="J4" s="115"/>
      <c r="K4" s="115"/>
      <c r="L4" s="72"/>
      <c r="M4" s="72"/>
      <c r="N4" s="4"/>
      <c r="O4" s="4"/>
    </row>
    <row r="5" spans="1:21" ht="31.5" customHeight="1" x14ac:dyDescent="0.25">
      <c r="A5" s="72"/>
      <c r="B5" s="4"/>
      <c r="C5" s="215" t="s">
        <v>292</v>
      </c>
      <c r="D5" s="215"/>
      <c r="E5" s="215"/>
      <c r="F5" s="215"/>
      <c r="G5" s="215"/>
      <c r="H5" s="215"/>
      <c r="I5" s="215"/>
      <c r="J5" s="215"/>
      <c r="K5" s="27"/>
      <c r="L5" s="65"/>
      <c r="M5" s="80"/>
      <c r="N5" s="27"/>
      <c r="O5" s="27"/>
    </row>
    <row r="6" spans="1:21" ht="16.5" customHeight="1" x14ac:dyDescent="0.25">
      <c r="A6" s="72"/>
      <c r="B6" s="4"/>
      <c r="C6" s="240" t="s">
        <v>293</v>
      </c>
      <c r="D6" s="240"/>
      <c r="E6" s="240"/>
      <c r="F6" s="240"/>
      <c r="G6" s="240"/>
      <c r="H6" s="240"/>
      <c r="I6" s="240"/>
      <c r="J6" s="240"/>
      <c r="K6" s="27"/>
      <c r="L6" s="65"/>
      <c r="M6" s="80"/>
      <c r="N6" s="27"/>
      <c r="O6" s="27"/>
    </row>
    <row r="7" spans="1:21" ht="15.75" customHeight="1" x14ac:dyDescent="0.25">
      <c r="A7" s="72"/>
      <c r="B7" s="4"/>
      <c r="C7" s="87" t="s">
        <v>291</v>
      </c>
      <c r="D7" s="88" t="s">
        <v>290</v>
      </c>
      <c r="E7" s="88"/>
      <c r="F7" s="88"/>
      <c r="G7" s="88"/>
      <c r="H7" s="88"/>
      <c r="I7" s="88"/>
      <c r="J7" s="88"/>
      <c r="K7" s="4"/>
      <c r="M7" s="72"/>
      <c r="N7" s="215"/>
      <c r="O7" s="215"/>
      <c r="P7" s="215"/>
      <c r="Q7" s="215"/>
      <c r="R7" s="215"/>
      <c r="S7" s="215"/>
      <c r="T7" s="215"/>
      <c r="U7" s="215"/>
    </row>
    <row r="8" spans="1:21" ht="15.75" customHeight="1" x14ac:dyDescent="0.25">
      <c r="A8" s="72"/>
      <c r="B8" s="4"/>
      <c r="C8" s="87" t="s">
        <v>281</v>
      </c>
      <c r="D8" s="88" t="s">
        <v>285</v>
      </c>
      <c r="E8" s="88"/>
      <c r="F8" s="88"/>
      <c r="G8" s="88"/>
      <c r="H8" s="88"/>
      <c r="I8" s="88"/>
      <c r="J8" s="88"/>
      <c r="K8" s="4"/>
      <c r="M8" s="72"/>
      <c r="N8" s="4"/>
      <c r="O8" s="78"/>
      <c r="P8" s="78"/>
      <c r="Q8" s="78"/>
      <c r="R8" s="78"/>
      <c r="S8" s="78"/>
      <c r="T8" s="78"/>
      <c r="U8" s="78"/>
    </row>
    <row r="9" spans="1:21" ht="15.75" customHeight="1" x14ac:dyDescent="0.25">
      <c r="A9" s="72"/>
      <c r="B9" s="4"/>
      <c r="C9" s="87" t="s">
        <v>282</v>
      </c>
      <c r="D9" s="88" t="s">
        <v>286</v>
      </c>
      <c r="E9" s="88"/>
      <c r="F9" s="88"/>
      <c r="G9" s="88"/>
      <c r="H9" s="88"/>
      <c r="I9" s="88"/>
      <c r="J9" s="88"/>
      <c r="K9" s="4"/>
      <c r="M9" s="72"/>
      <c r="N9" s="4"/>
      <c r="O9" s="78"/>
      <c r="P9" s="78"/>
      <c r="Q9" s="78"/>
      <c r="R9" s="78"/>
      <c r="S9" s="78"/>
      <c r="T9" s="78"/>
      <c r="U9" s="78"/>
    </row>
    <row r="10" spans="1:21" ht="15.75" customHeight="1" x14ac:dyDescent="0.25">
      <c r="A10" s="72"/>
      <c r="B10" s="4"/>
      <c r="C10" s="87" t="s">
        <v>283</v>
      </c>
      <c r="D10" s="88" t="s">
        <v>287</v>
      </c>
      <c r="E10" s="88"/>
      <c r="F10" s="88"/>
      <c r="G10" s="88"/>
      <c r="H10" s="88"/>
      <c r="I10" s="88"/>
      <c r="J10" s="88"/>
      <c r="K10" s="4"/>
      <c r="M10" s="72"/>
      <c r="N10" s="4"/>
      <c r="O10" s="78"/>
      <c r="P10" s="78"/>
      <c r="Q10" s="78"/>
      <c r="R10" s="78"/>
      <c r="S10" s="78"/>
      <c r="T10" s="78"/>
      <c r="U10" s="78"/>
    </row>
    <row r="11" spans="1:21" ht="15.75" customHeight="1" x14ac:dyDescent="0.25">
      <c r="A11" s="72"/>
      <c r="B11" s="4"/>
      <c r="C11" s="89"/>
      <c r="D11" s="240" t="s">
        <v>289</v>
      </c>
      <c r="E11" s="240"/>
      <c r="F11" s="240"/>
      <c r="G11" s="90"/>
      <c r="H11" s="90"/>
      <c r="I11" s="90"/>
      <c r="J11" s="88"/>
      <c r="K11" s="4"/>
      <c r="M11" s="72"/>
      <c r="N11" s="4"/>
      <c r="O11" s="4"/>
    </row>
    <row r="12" spans="1:21" ht="15.75" customHeight="1" x14ac:dyDescent="0.25">
      <c r="A12" s="72"/>
      <c r="B12" s="4"/>
      <c r="C12" s="87" t="s">
        <v>284</v>
      </c>
      <c r="D12" s="88" t="s">
        <v>288</v>
      </c>
      <c r="E12" s="91"/>
      <c r="F12" s="88"/>
      <c r="G12" s="88"/>
      <c r="H12" s="88"/>
      <c r="I12" s="88"/>
      <c r="J12" s="88"/>
      <c r="K12" s="4"/>
      <c r="M12" s="72"/>
      <c r="N12" s="242" t="s">
        <v>570</v>
      </c>
      <c r="O12" s="242"/>
    </row>
    <row r="13" spans="1:21" x14ac:dyDescent="0.25">
      <c r="A13" s="72"/>
      <c r="B13" s="4"/>
      <c r="C13" s="4"/>
      <c r="D13" s="5"/>
      <c r="E13" s="5"/>
      <c r="F13" s="5"/>
      <c r="G13" s="4"/>
      <c r="H13" s="4"/>
      <c r="I13" s="4"/>
      <c r="J13" s="4"/>
      <c r="K13" s="4"/>
      <c r="M13" s="72"/>
      <c r="N13" s="242"/>
      <c r="O13" s="242"/>
    </row>
    <row r="14" spans="1:21" ht="30.75" customHeight="1" x14ac:dyDescent="0.25">
      <c r="A14" s="72"/>
      <c r="B14" s="4"/>
      <c r="C14" s="84"/>
      <c r="D14" s="5"/>
      <c r="E14" s="5"/>
      <c r="F14" s="4"/>
      <c r="G14" s="215" t="s">
        <v>240</v>
      </c>
      <c r="H14" s="215"/>
      <c r="I14" s="215"/>
      <c r="J14" s="215"/>
      <c r="K14" s="215"/>
      <c r="M14" s="72"/>
      <c r="N14" s="4"/>
      <c r="O14" s="4"/>
    </row>
    <row r="15" spans="1:21" ht="15.75" x14ac:dyDescent="0.25">
      <c r="A15" s="72"/>
      <c r="B15" s="4"/>
      <c r="C15" s="84"/>
      <c r="D15" s="5"/>
      <c r="E15" s="5"/>
      <c r="F15" s="4"/>
      <c r="G15" s="85" t="s">
        <v>241</v>
      </c>
      <c r="H15" s="4"/>
      <c r="I15" s="4"/>
      <c r="J15" s="4"/>
      <c r="K15" s="4"/>
      <c r="M15" s="72"/>
      <c r="N15" s="4"/>
      <c r="O15" s="4"/>
    </row>
    <row r="16" spans="1:21" ht="6" customHeight="1" x14ac:dyDescent="0.25">
      <c r="A16" s="72"/>
      <c r="B16" s="4"/>
      <c r="C16" s="84"/>
      <c r="D16" s="5"/>
      <c r="E16" s="5"/>
      <c r="F16" s="5"/>
      <c r="G16" s="4"/>
      <c r="H16" s="4"/>
      <c r="I16" s="4"/>
      <c r="J16" s="4"/>
      <c r="K16" s="4"/>
      <c r="M16" s="72"/>
      <c r="N16" s="4"/>
      <c r="O16" s="4"/>
    </row>
    <row r="17" spans="1:22" ht="15.75" x14ac:dyDescent="0.25">
      <c r="A17" s="72"/>
      <c r="B17" s="4"/>
      <c r="C17" s="83" t="s">
        <v>294</v>
      </c>
      <c r="D17" s="4"/>
      <c r="E17" s="4"/>
      <c r="F17" s="4"/>
      <c r="G17" s="4"/>
      <c r="H17" s="4"/>
      <c r="I17" s="4"/>
      <c r="J17" s="4"/>
      <c r="K17" s="4"/>
      <c r="M17" s="72"/>
      <c r="N17" s="4"/>
      <c r="O17" s="4"/>
    </row>
    <row r="18" spans="1:22" ht="6.75" customHeight="1" x14ac:dyDescent="0.25">
      <c r="A18" s="72"/>
      <c r="B18" s="4"/>
      <c r="C18" s="4"/>
      <c r="D18" s="4"/>
      <c r="E18" s="4"/>
      <c r="F18" s="4"/>
      <c r="G18" s="4"/>
      <c r="H18" s="4"/>
      <c r="I18" s="4"/>
      <c r="J18" s="4"/>
      <c r="K18" s="4"/>
      <c r="M18" s="72"/>
      <c r="N18" s="4"/>
      <c r="O18" s="4"/>
    </row>
    <row r="19" spans="1:22" ht="29.25" customHeight="1" x14ac:dyDescent="0.25">
      <c r="A19" s="72"/>
      <c r="B19" s="4"/>
      <c r="C19" s="241" t="s">
        <v>561</v>
      </c>
      <c r="D19" s="241"/>
      <c r="E19" s="241"/>
      <c r="F19" s="241"/>
      <c r="G19" s="241"/>
      <c r="H19" s="241"/>
      <c r="I19" s="241"/>
      <c r="J19" s="241"/>
      <c r="K19" s="4"/>
      <c r="M19" s="72"/>
      <c r="N19" s="4"/>
      <c r="O19" s="4"/>
    </row>
    <row r="20" spans="1:22" ht="6.75" customHeight="1" x14ac:dyDescent="0.25">
      <c r="A20" s="72"/>
      <c r="B20" s="4"/>
      <c r="C20" s="4"/>
      <c r="D20" s="4"/>
      <c r="E20" s="4"/>
      <c r="F20" s="4"/>
      <c r="G20" s="4"/>
      <c r="H20" s="4"/>
      <c r="I20" s="4"/>
      <c r="J20" s="4"/>
      <c r="K20" s="4"/>
      <c r="M20" s="72"/>
      <c r="N20" s="4"/>
      <c r="O20" s="4"/>
    </row>
    <row r="21" spans="1:22" ht="33.75" customHeight="1" x14ac:dyDescent="0.25">
      <c r="A21" s="72"/>
      <c r="B21" s="4"/>
      <c r="C21" s="215" t="s">
        <v>239</v>
      </c>
      <c r="D21" s="215"/>
      <c r="E21" s="215"/>
      <c r="F21" s="215"/>
      <c r="G21" s="215"/>
      <c r="H21" s="215"/>
      <c r="I21" s="215"/>
      <c r="J21" s="215"/>
      <c r="K21" s="27"/>
      <c r="L21" s="45"/>
      <c r="M21" s="81"/>
      <c r="N21" s="78"/>
      <c r="O21" s="4"/>
    </row>
    <row r="22" spans="1:22" ht="6.75" customHeight="1" x14ac:dyDescent="0.25">
      <c r="A22" s="72"/>
      <c r="B22" s="4"/>
      <c r="C22" s="4"/>
      <c r="D22" s="4"/>
      <c r="E22" s="4"/>
      <c r="F22" s="4"/>
      <c r="G22" s="4"/>
      <c r="H22" s="4"/>
      <c r="I22" s="4"/>
      <c r="J22" s="4"/>
      <c r="K22" s="4"/>
      <c r="M22" s="72"/>
      <c r="N22" s="4"/>
      <c r="O22" s="4"/>
    </row>
    <row r="23" spans="1:22" s="58" customFormat="1" ht="30" customHeight="1" x14ac:dyDescent="0.25">
      <c r="A23" s="82"/>
      <c r="B23" s="86"/>
      <c r="C23" s="215" t="s">
        <v>243</v>
      </c>
      <c r="D23" s="215"/>
      <c r="E23" s="215"/>
      <c r="F23" s="215"/>
      <c r="G23" s="215"/>
      <c r="H23" s="215"/>
      <c r="I23" s="215"/>
      <c r="J23" s="215"/>
      <c r="K23" s="27"/>
      <c r="L23" s="65"/>
      <c r="M23" s="80"/>
      <c r="N23" s="27"/>
      <c r="O23" s="27"/>
      <c r="P23" s="86"/>
      <c r="Q23" s="86"/>
      <c r="R23" s="86"/>
      <c r="S23" s="86"/>
      <c r="T23" s="86"/>
      <c r="U23" s="86"/>
      <c r="V23" s="86"/>
    </row>
    <row r="24" spans="1:22" ht="6.75" customHeight="1" x14ac:dyDescent="0.25">
      <c r="A24" s="72"/>
      <c r="B24" s="4"/>
      <c r="C24" s="27"/>
      <c r="D24" s="27"/>
      <c r="E24" s="27"/>
      <c r="F24" s="27"/>
      <c r="G24" s="27"/>
      <c r="H24" s="27"/>
      <c r="I24" s="27"/>
      <c r="J24" s="27"/>
      <c r="K24" s="27"/>
      <c r="L24" s="45"/>
      <c r="M24" s="81"/>
      <c r="N24" s="78"/>
      <c r="O24" s="78"/>
    </row>
    <row r="25" spans="1:22" ht="61.5" customHeight="1" x14ac:dyDescent="0.25">
      <c r="A25" s="72"/>
      <c r="B25" s="4"/>
      <c r="C25" s="215" t="s">
        <v>562</v>
      </c>
      <c r="D25" s="215"/>
      <c r="E25" s="215"/>
      <c r="F25" s="215"/>
      <c r="G25" s="215"/>
      <c r="H25" s="215"/>
      <c r="I25" s="215"/>
      <c r="J25" s="215"/>
      <c r="K25" s="27"/>
      <c r="L25" s="65"/>
      <c r="M25" s="80"/>
      <c r="N25" s="27"/>
      <c r="O25" s="27"/>
    </row>
    <row r="26" spans="1:22" ht="6.75" customHeight="1" x14ac:dyDescent="0.25">
      <c r="A26" s="72"/>
      <c r="B26" s="4"/>
      <c r="C26" s="78"/>
      <c r="D26" s="78"/>
      <c r="E26" s="78"/>
      <c r="F26" s="78"/>
      <c r="G26" s="78"/>
      <c r="H26" s="78"/>
      <c r="I26" s="78"/>
      <c r="J26" s="78"/>
      <c r="K26" s="78"/>
      <c r="L26" s="45"/>
      <c r="M26" s="81"/>
      <c r="N26" s="78"/>
      <c r="O26" s="78"/>
    </row>
    <row r="27" spans="1:22" ht="67.5" customHeight="1" x14ac:dyDescent="0.25">
      <c r="A27" s="72"/>
      <c r="B27" s="4"/>
      <c r="C27" s="215" t="s">
        <v>329</v>
      </c>
      <c r="D27" s="215"/>
      <c r="E27" s="215"/>
      <c r="F27" s="215"/>
      <c r="G27" s="215"/>
      <c r="H27" s="215"/>
      <c r="I27" s="215"/>
      <c r="J27" s="215"/>
      <c r="K27" s="27"/>
      <c r="L27" s="65"/>
      <c r="M27" s="80"/>
      <c r="N27" s="27"/>
      <c r="O27" s="27"/>
    </row>
    <row r="28" spans="1:22" ht="34.5" customHeight="1" x14ac:dyDescent="0.25">
      <c r="A28" s="72"/>
      <c r="B28" s="4"/>
      <c r="C28" s="233" t="s">
        <v>563</v>
      </c>
      <c r="D28" s="233"/>
      <c r="E28" s="233"/>
      <c r="F28" s="233"/>
      <c r="G28" s="233"/>
      <c r="H28" s="233"/>
      <c r="I28" s="233"/>
      <c r="J28" s="233"/>
      <c r="K28" s="27"/>
      <c r="L28" s="65"/>
      <c r="M28" s="80"/>
      <c r="N28" s="27"/>
      <c r="O28" s="27"/>
    </row>
    <row r="29" spans="1:22" ht="27" customHeight="1" x14ac:dyDescent="0.35">
      <c r="A29" s="72"/>
      <c r="B29" s="123" t="s">
        <v>297</v>
      </c>
      <c r="C29" s="123"/>
      <c r="D29" s="123"/>
      <c r="E29" s="123"/>
      <c r="F29" s="123"/>
      <c r="G29" s="123"/>
      <c r="H29" s="259" t="s">
        <v>300</v>
      </c>
      <c r="I29" s="259"/>
      <c r="J29" s="259"/>
      <c r="K29" s="259"/>
      <c r="L29" s="43" t="s">
        <v>4</v>
      </c>
      <c r="M29" s="72"/>
      <c r="N29" s="243"/>
      <c r="O29" s="243"/>
    </row>
    <row r="30" spans="1:22" ht="18.75" customHeight="1" x14ac:dyDescent="0.3">
      <c r="A30" s="72"/>
      <c r="B30" s="6" t="s">
        <v>5</v>
      </c>
      <c r="C30" s="4"/>
      <c r="D30" s="4"/>
      <c r="E30" s="4"/>
      <c r="F30" s="4"/>
      <c r="G30" s="4"/>
      <c r="H30" s="262" t="s">
        <v>430</v>
      </c>
      <c r="I30" s="262"/>
      <c r="J30" s="262"/>
      <c r="K30" s="262"/>
      <c r="M30" s="72"/>
      <c r="N30" s="6"/>
    </row>
    <row r="31" spans="1:22" ht="132" customHeight="1" x14ac:dyDescent="0.25">
      <c r="A31" s="72"/>
      <c r="B31" s="215" t="s">
        <v>578</v>
      </c>
      <c r="C31" s="215"/>
      <c r="D31" s="215"/>
      <c r="E31" s="215"/>
      <c r="F31" s="215"/>
      <c r="G31" s="215"/>
      <c r="H31" s="262"/>
      <c r="I31" s="262"/>
      <c r="J31" s="262"/>
      <c r="K31" s="262"/>
      <c r="L31" t="s">
        <v>6</v>
      </c>
      <c r="M31" s="72"/>
      <c r="N31" s="250"/>
      <c r="O31" s="250"/>
    </row>
    <row r="32" spans="1:22" x14ac:dyDescent="0.25">
      <c r="A32" s="72"/>
      <c r="C32" s="234" t="s">
        <v>7</v>
      </c>
      <c r="D32" s="237"/>
      <c r="E32" s="235" t="s">
        <v>336</v>
      </c>
      <c r="F32" s="235"/>
      <c r="G32" s="116" t="s">
        <v>348</v>
      </c>
      <c r="H32" s="4"/>
      <c r="I32" s="4"/>
      <c r="J32" s="4"/>
      <c r="K32" s="4"/>
      <c r="M32" s="72"/>
    </row>
    <row r="33" spans="1:15" ht="14.45" customHeight="1" x14ac:dyDescent="0.25">
      <c r="A33" s="72"/>
      <c r="B33" s="5"/>
      <c r="C33" s="4"/>
      <c r="D33" s="4"/>
      <c r="E33" s="4"/>
      <c r="F33" s="4"/>
      <c r="G33" s="4"/>
      <c r="H33" s="4"/>
      <c r="I33" s="4"/>
      <c r="J33" s="4"/>
      <c r="K33" s="4"/>
      <c r="M33" s="72"/>
      <c r="N33" s="250"/>
      <c r="O33" s="250"/>
    </row>
    <row r="34" spans="1:15" x14ac:dyDescent="0.25">
      <c r="A34" s="72"/>
      <c r="B34" s="5" t="s">
        <v>303</v>
      </c>
      <c r="C34" s="5" t="s">
        <v>325</v>
      </c>
      <c r="D34" s="5"/>
      <c r="E34" s="5"/>
      <c r="F34" s="5"/>
      <c r="G34" s="5"/>
      <c r="H34" s="5"/>
      <c r="I34" s="5"/>
      <c r="J34" s="4"/>
      <c r="K34" s="4"/>
      <c r="M34" s="72"/>
    </row>
    <row r="35" spans="1:15" x14ac:dyDescent="0.25">
      <c r="A35" s="72"/>
      <c r="B35" s="5"/>
      <c r="C35" s="247"/>
      <c r="D35" s="248"/>
      <c r="E35" s="248"/>
      <c r="F35" s="248"/>
      <c r="G35" s="249"/>
      <c r="H35" s="4"/>
      <c r="I35" s="4"/>
      <c r="J35" s="4"/>
      <c r="K35" s="4"/>
      <c r="L35" s="1">
        <f>IF(C35="Significantly reduce GHG emissions (or significantly increase removals)",2, IF(C35="Slightly reduce GHG emissions (or slightly increase removals)",1, IF(C35="not applicable/no impact",0, IF(C35="Slightly increase GHG emissions (or slightly reduce removals)", -1, IF(C35="Significantly increase GHG emissions (or signficiantly reduce removals)", -2, IF(C35="",20,""))))))</f>
        <v>20</v>
      </c>
      <c r="M35" s="72"/>
      <c r="N35" s="94"/>
      <c r="O35" s="94"/>
    </row>
    <row r="36" spans="1:15" x14ac:dyDescent="0.25">
      <c r="A36" s="72"/>
      <c r="B36" s="5"/>
      <c r="C36" s="4"/>
      <c r="D36" s="4"/>
      <c r="E36" s="4"/>
      <c r="F36" s="4"/>
      <c r="G36" s="4"/>
      <c r="H36" s="4"/>
      <c r="I36" s="4"/>
      <c r="J36" s="4"/>
      <c r="K36" s="4"/>
      <c r="M36" s="72"/>
    </row>
    <row r="37" spans="1:15" x14ac:dyDescent="0.25">
      <c r="A37" s="72"/>
      <c r="B37" s="5" t="s">
        <v>304</v>
      </c>
      <c r="C37" s="5" t="s">
        <v>307</v>
      </c>
      <c r="D37" s="4"/>
      <c r="E37" s="4"/>
      <c r="F37" s="4"/>
      <c r="G37" s="13"/>
      <c r="H37" s="4"/>
      <c r="I37" s="4"/>
      <c r="J37" s="4"/>
      <c r="K37" s="4"/>
      <c r="M37" s="72"/>
    </row>
    <row r="38" spans="1:15" ht="14.45" customHeight="1" x14ac:dyDescent="0.25">
      <c r="A38" s="72"/>
      <c r="B38" s="124"/>
      <c r="C38" s="244"/>
      <c r="D38" s="245"/>
      <c r="E38" s="245"/>
      <c r="F38" s="245"/>
      <c r="G38" s="246"/>
      <c r="H38" s="86"/>
      <c r="I38" s="86"/>
      <c r="J38" s="4"/>
      <c r="K38" s="4"/>
      <c r="L38" s="59" t="str">
        <f>IF(C38="yes",2,IF(C38="no",1,"0"))</f>
        <v>0</v>
      </c>
      <c r="M38" s="72"/>
    </row>
    <row r="39" spans="1:15" x14ac:dyDescent="0.25">
      <c r="A39" s="72"/>
      <c r="B39" s="5"/>
      <c r="C39" s="4"/>
      <c r="D39" s="4"/>
      <c r="E39" s="4"/>
      <c r="F39" s="4"/>
      <c r="G39" s="4"/>
      <c r="H39" s="4"/>
      <c r="I39" s="4"/>
      <c r="J39" s="4"/>
      <c r="K39" s="4"/>
      <c r="M39" s="72"/>
    </row>
    <row r="40" spans="1:15" ht="14.45" customHeight="1" x14ac:dyDescent="0.25">
      <c r="A40" s="72"/>
      <c r="B40" s="5" t="s">
        <v>305</v>
      </c>
      <c r="C40" s="5" t="s">
        <v>326</v>
      </c>
      <c r="D40" s="5"/>
      <c r="E40" s="5"/>
      <c r="F40" s="5"/>
      <c r="G40" s="5"/>
      <c r="H40" s="5"/>
      <c r="I40" s="5"/>
      <c r="J40" s="4"/>
      <c r="K40" s="4"/>
      <c r="M40" s="72"/>
      <c r="N40" s="94"/>
    </row>
    <row r="41" spans="1:15" x14ac:dyDescent="0.25">
      <c r="A41" s="72"/>
      <c r="B41" s="124"/>
      <c r="C41" s="244"/>
      <c r="D41" s="245"/>
      <c r="E41" s="245"/>
      <c r="F41" s="245"/>
      <c r="G41" s="246"/>
      <c r="H41" s="4"/>
      <c r="I41" s="4"/>
      <c r="J41" s="4"/>
      <c r="K41" s="4"/>
      <c r="L41" s="59" t="str">
        <f>IF(C41="yes",2,IF(C41="no",1,"0"))</f>
        <v>0</v>
      </c>
      <c r="M41" s="72"/>
    </row>
    <row r="42" spans="1:15" ht="14.45" customHeight="1" x14ac:dyDescent="0.25">
      <c r="A42" s="72"/>
      <c r="B42" s="5"/>
      <c r="C42" s="4"/>
      <c r="D42" s="4"/>
      <c r="E42" s="4"/>
      <c r="F42" s="4"/>
      <c r="G42" s="4"/>
      <c r="H42" s="4"/>
      <c r="I42" s="4"/>
      <c r="J42" s="4"/>
      <c r="K42" s="4"/>
      <c r="L42" s="3">
        <f>IF(C35="",20,((L35*L38)*L41))</f>
        <v>20</v>
      </c>
      <c r="M42" s="72"/>
    </row>
    <row r="43" spans="1:15" ht="14.45" customHeight="1" x14ac:dyDescent="0.25">
      <c r="A43" s="72"/>
      <c r="B43" s="5" t="s">
        <v>21</v>
      </c>
      <c r="C43" s="5" t="s">
        <v>560</v>
      </c>
      <c r="D43" s="4"/>
      <c r="E43" s="4"/>
      <c r="F43" s="4"/>
      <c r="G43" s="4"/>
      <c r="H43" s="4"/>
      <c r="I43" s="4"/>
      <c r="J43" s="4"/>
      <c r="K43" s="4"/>
      <c r="L43" s="3"/>
      <c r="M43" s="72"/>
      <c r="N43" s="261"/>
      <c r="O43" s="261"/>
    </row>
    <row r="44" spans="1:15" ht="44.45" customHeight="1" x14ac:dyDescent="0.25">
      <c r="A44" s="72"/>
      <c r="B44" s="5"/>
      <c r="C44" s="257"/>
      <c r="D44" s="257"/>
      <c r="E44" s="257"/>
      <c r="F44" s="257"/>
      <c r="G44" s="257"/>
      <c r="H44" s="4"/>
      <c r="I44" s="4"/>
      <c r="J44" s="4"/>
      <c r="K44" s="4"/>
      <c r="L44" s="92">
        <f>IF(C44="",0,1)</f>
        <v>0</v>
      </c>
      <c r="M44" s="72"/>
      <c r="N44" s="261"/>
      <c r="O44" s="261"/>
    </row>
    <row r="45" spans="1:15" x14ac:dyDescent="0.25">
      <c r="A45" s="72"/>
      <c r="B45" s="4"/>
      <c r="C45" s="4"/>
      <c r="D45" s="4"/>
      <c r="E45" s="4"/>
      <c r="F45" s="4"/>
      <c r="G45" s="4"/>
      <c r="H45" s="4"/>
      <c r="I45" s="4"/>
      <c r="J45" s="4"/>
      <c r="K45" s="4"/>
      <c r="L45" s="3"/>
      <c r="M45" s="72"/>
    </row>
    <row r="46" spans="1:15" ht="14.45" customHeight="1" x14ac:dyDescent="0.25">
      <c r="A46" s="72"/>
      <c r="B46" s="72"/>
      <c r="C46" s="72"/>
      <c r="D46" s="72"/>
      <c r="E46" s="72"/>
      <c r="F46" s="72"/>
      <c r="G46" s="72"/>
      <c r="H46" s="72"/>
      <c r="I46" s="72"/>
      <c r="J46" s="72"/>
      <c r="K46" s="72"/>
      <c r="L46" s="75"/>
      <c r="M46" s="72"/>
    </row>
    <row r="47" spans="1:15" ht="18.75" x14ac:dyDescent="0.3">
      <c r="A47" s="72"/>
      <c r="B47" s="6" t="s">
        <v>10</v>
      </c>
      <c r="C47" s="4"/>
      <c r="D47" s="4"/>
      <c r="E47" s="4"/>
      <c r="F47" s="4"/>
      <c r="G47" s="4"/>
      <c r="H47" s="4"/>
      <c r="I47" s="4"/>
      <c r="J47" s="4"/>
      <c r="K47" s="4"/>
      <c r="M47" s="72"/>
      <c r="N47" s="6"/>
    </row>
    <row r="48" spans="1:15" ht="51" customHeight="1" x14ac:dyDescent="0.25">
      <c r="A48" s="72"/>
      <c r="B48" s="258" t="s">
        <v>338</v>
      </c>
      <c r="C48" s="258"/>
      <c r="D48" s="258"/>
      <c r="E48" s="258"/>
      <c r="F48" s="258"/>
      <c r="G48" s="258"/>
      <c r="H48" s="258"/>
      <c r="I48" s="258"/>
      <c r="J48" s="4"/>
      <c r="K48" s="4"/>
      <c r="M48" s="72"/>
      <c r="N48" s="250"/>
      <c r="O48" s="250"/>
    </row>
    <row r="49" spans="1:15" x14ac:dyDescent="0.25">
      <c r="A49" s="72"/>
      <c r="C49" s="234" t="s">
        <v>7</v>
      </c>
      <c r="D49" s="234"/>
      <c r="E49" s="235" t="s">
        <v>337</v>
      </c>
      <c r="F49" s="235"/>
      <c r="G49" s="116" t="s">
        <v>348</v>
      </c>
      <c r="H49" s="4"/>
      <c r="I49" s="4"/>
      <c r="J49" s="4"/>
      <c r="K49" s="4"/>
      <c r="M49" s="72"/>
      <c r="N49" s="250"/>
      <c r="O49" s="250"/>
    </row>
    <row r="50" spans="1:15" ht="14.45" customHeight="1" x14ac:dyDescent="0.25">
      <c r="A50" s="72"/>
      <c r="B50" s="5"/>
      <c r="C50" s="4"/>
      <c r="D50" s="4"/>
      <c r="E50" s="4"/>
      <c r="F50" s="4"/>
      <c r="G50" s="4"/>
      <c r="H50" s="4"/>
      <c r="I50" s="86"/>
      <c r="J50" s="4"/>
      <c r="K50" s="4"/>
      <c r="M50" s="72"/>
      <c r="N50" s="96"/>
      <c r="O50" s="96"/>
    </row>
    <row r="51" spans="1:15" x14ac:dyDescent="0.25">
      <c r="A51" s="72"/>
      <c r="B51" s="5" t="s">
        <v>303</v>
      </c>
      <c r="C51" s="5" t="s">
        <v>323</v>
      </c>
      <c r="D51" s="5"/>
      <c r="E51" s="5"/>
      <c r="F51" s="5"/>
      <c r="G51" s="5"/>
      <c r="H51" s="5"/>
      <c r="I51" s="5"/>
      <c r="J51" s="4"/>
      <c r="K51" s="4"/>
      <c r="M51" s="72"/>
      <c r="N51" s="94"/>
      <c r="O51" s="94"/>
    </row>
    <row r="52" spans="1:15" ht="14.45" customHeight="1" x14ac:dyDescent="0.25">
      <c r="A52" s="72"/>
      <c r="B52" s="5"/>
      <c r="C52" s="247"/>
      <c r="D52" s="248"/>
      <c r="E52" s="248"/>
      <c r="F52" s="248"/>
      <c r="G52" s="249"/>
      <c r="H52" s="4"/>
      <c r="I52" s="4"/>
      <c r="J52" s="4"/>
      <c r="K52" s="4"/>
      <c r="L52" s="1">
        <f>IF(C52="significantly decrease air pollutants",2, IF(C52="slightly decrease air pollutants",1, IF(C52="not applicable/no impact",0, IF(C52="slightly increase air pollutants", -1, IF(C52="significantly increase air pollutants", -2, IF(C52="",20,""))))))</f>
        <v>20</v>
      </c>
      <c r="M52" s="72"/>
    </row>
    <row r="53" spans="1:15" x14ac:dyDescent="0.25">
      <c r="A53" s="72"/>
      <c r="B53" s="5"/>
      <c r="C53" s="4"/>
      <c r="D53" s="4"/>
      <c r="E53" s="4"/>
      <c r="F53" s="4"/>
      <c r="G53" s="4"/>
      <c r="H53" s="4"/>
      <c r="I53" s="4"/>
      <c r="J53" s="4"/>
      <c r="K53" s="4"/>
      <c r="M53" s="72"/>
      <c r="N53" s="94"/>
      <c r="O53" s="94"/>
    </row>
    <row r="54" spans="1:15" x14ac:dyDescent="0.25">
      <c r="A54" s="72"/>
      <c r="B54" s="5" t="s">
        <v>304</v>
      </c>
      <c r="C54" s="5" t="s">
        <v>307</v>
      </c>
      <c r="D54" s="4"/>
      <c r="E54" s="4"/>
      <c r="F54" s="4"/>
      <c r="G54" s="4"/>
      <c r="H54" s="4"/>
      <c r="I54" s="4"/>
      <c r="J54" s="4"/>
      <c r="K54" s="4"/>
      <c r="M54" s="72"/>
      <c r="N54" s="94"/>
      <c r="O54" s="94"/>
    </row>
    <row r="55" spans="1:15" x14ac:dyDescent="0.25">
      <c r="A55" s="72"/>
      <c r="B55" s="124"/>
      <c r="C55" s="244"/>
      <c r="D55" s="245"/>
      <c r="E55" s="245"/>
      <c r="F55" s="245"/>
      <c r="G55" s="246"/>
      <c r="H55" s="86"/>
      <c r="I55" s="86"/>
      <c r="J55" s="4"/>
      <c r="K55" s="4"/>
      <c r="L55" s="59" t="str">
        <f>IF(C55="yes",2,IF(C55="no",1,"0"))</f>
        <v>0</v>
      </c>
      <c r="M55" s="72"/>
    </row>
    <row r="56" spans="1:15" ht="14.45" customHeight="1" x14ac:dyDescent="0.25">
      <c r="A56" s="72"/>
      <c r="B56" s="5"/>
      <c r="C56" s="4"/>
      <c r="D56" s="4"/>
      <c r="E56" s="4"/>
      <c r="F56" s="4"/>
      <c r="G56" s="4"/>
      <c r="H56" s="4"/>
      <c r="I56" s="4"/>
      <c r="J56" s="4"/>
      <c r="K56" s="4"/>
      <c r="M56" s="72"/>
    </row>
    <row r="57" spans="1:15" x14ac:dyDescent="0.25">
      <c r="A57" s="72"/>
      <c r="B57" s="5" t="s">
        <v>305</v>
      </c>
      <c r="C57" s="5" t="s">
        <v>324</v>
      </c>
      <c r="D57" s="5"/>
      <c r="E57" s="5"/>
      <c r="F57" s="5"/>
      <c r="G57" s="5"/>
      <c r="H57" s="5"/>
      <c r="I57" s="5"/>
      <c r="J57" s="4"/>
      <c r="K57" s="4"/>
      <c r="M57" s="72"/>
    </row>
    <row r="58" spans="1:15" ht="14.45" customHeight="1" x14ac:dyDescent="0.25">
      <c r="A58" s="72"/>
      <c r="B58" s="5"/>
      <c r="C58" s="247"/>
      <c r="D58" s="248"/>
      <c r="E58" s="248"/>
      <c r="F58" s="248"/>
      <c r="G58" s="249"/>
      <c r="H58" s="4"/>
      <c r="I58" s="4"/>
      <c r="J58" s="4"/>
      <c r="K58" s="4"/>
      <c r="L58" s="59" t="str">
        <f>IF(C58="yes",2,IF(C58="no",1,"0"))</f>
        <v>0</v>
      </c>
      <c r="M58" s="72"/>
      <c r="O58" s="96"/>
    </row>
    <row r="59" spans="1:15" ht="14.45" customHeight="1" x14ac:dyDescent="0.25">
      <c r="A59" s="72"/>
      <c r="B59" s="5"/>
      <c r="C59" s="28"/>
      <c r="D59" s="28"/>
      <c r="E59" s="28"/>
      <c r="F59" s="28"/>
      <c r="G59" s="28"/>
      <c r="H59" s="4"/>
      <c r="I59" s="4"/>
      <c r="J59" s="4"/>
      <c r="K59" s="4"/>
      <c r="L59" s="3">
        <f>IF(C52="",20,((L52*L55)*L58))</f>
        <v>20</v>
      </c>
      <c r="M59" s="72"/>
      <c r="N59" s="255"/>
      <c r="O59" s="255"/>
    </row>
    <row r="60" spans="1:15" x14ac:dyDescent="0.25">
      <c r="A60" s="72"/>
      <c r="B60" s="5" t="s">
        <v>21</v>
      </c>
      <c r="C60" s="5" t="s">
        <v>560</v>
      </c>
      <c r="D60" s="4"/>
      <c r="E60" s="4"/>
      <c r="F60" s="4"/>
      <c r="G60" s="4"/>
      <c r="H60" s="4"/>
      <c r="I60" s="4"/>
      <c r="J60" s="4"/>
      <c r="K60" s="4"/>
      <c r="L60" s="3"/>
      <c r="M60" s="72"/>
      <c r="N60" s="255"/>
      <c r="O60" s="255"/>
    </row>
    <row r="61" spans="1:15" ht="44.45" customHeight="1" x14ac:dyDescent="0.25">
      <c r="A61" s="72"/>
      <c r="B61" s="5"/>
      <c r="C61" s="257"/>
      <c r="D61" s="257"/>
      <c r="E61" s="257"/>
      <c r="F61" s="257"/>
      <c r="G61" s="257"/>
      <c r="H61" s="4"/>
      <c r="I61" s="4"/>
      <c r="J61" s="4"/>
      <c r="K61" s="4"/>
      <c r="L61" s="92">
        <f>IF(C61="",0,1)</f>
        <v>0</v>
      </c>
      <c r="M61" s="72"/>
    </row>
    <row r="62" spans="1:15" ht="14.45" customHeight="1" x14ac:dyDescent="0.25">
      <c r="A62" s="72"/>
      <c r="B62" s="4"/>
      <c r="C62" s="4"/>
      <c r="D62" s="4"/>
      <c r="E62" s="4"/>
      <c r="F62" s="4"/>
      <c r="G62" s="4"/>
      <c r="H62" s="4"/>
      <c r="I62" s="4"/>
      <c r="J62" s="4"/>
      <c r="K62" s="4"/>
      <c r="L62" s="3"/>
      <c r="M62" s="72"/>
    </row>
    <row r="63" spans="1:15" x14ac:dyDescent="0.25">
      <c r="A63" s="72"/>
      <c r="B63" s="72"/>
      <c r="C63" s="72"/>
      <c r="D63" s="72"/>
      <c r="E63" s="72"/>
      <c r="F63" s="72"/>
      <c r="G63" s="72"/>
      <c r="H63" s="72"/>
      <c r="I63" s="72"/>
      <c r="J63" s="72"/>
      <c r="K63" s="72"/>
      <c r="L63" s="75"/>
      <c r="M63" s="72"/>
    </row>
    <row r="64" spans="1:15" ht="18.75" x14ac:dyDescent="0.3">
      <c r="A64" s="72"/>
      <c r="B64" s="6" t="s">
        <v>13</v>
      </c>
      <c r="C64" s="4"/>
      <c r="D64" s="4"/>
      <c r="E64" s="4"/>
      <c r="F64" s="4"/>
      <c r="G64" s="4"/>
      <c r="H64" s="4"/>
      <c r="I64" s="4"/>
      <c r="J64" s="4"/>
      <c r="K64" s="4"/>
      <c r="L64" s="3"/>
      <c r="M64" s="72"/>
      <c r="N64" s="6"/>
    </row>
    <row r="65" spans="1:15" ht="102" customHeight="1" x14ac:dyDescent="0.25">
      <c r="A65" s="72"/>
      <c r="B65" s="256" t="s">
        <v>349</v>
      </c>
      <c r="C65" s="256"/>
      <c r="D65" s="256"/>
      <c r="E65" s="256"/>
      <c r="F65" s="256"/>
      <c r="G65" s="256"/>
      <c r="H65" s="256"/>
      <c r="I65" s="256"/>
      <c r="J65" s="4"/>
      <c r="K65" s="4"/>
      <c r="M65" s="72"/>
      <c r="N65" s="250"/>
      <c r="O65" s="250"/>
    </row>
    <row r="66" spans="1:15" ht="15.75" customHeight="1" x14ac:dyDescent="0.25">
      <c r="A66" s="72"/>
      <c r="B66" s="7"/>
      <c r="C66" s="234" t="s">
        <v>295</v>
      </c>
      <c r="D66" s="234"/>
      <c r="E66" s="235" t="s">
        <v>337</v>
      </c>
      <c r="F66" s="235"/>
      <c r="G66" s="125" t="s">
        <v>348</v>
      </c>
      <c r="H66" s="4"/>
      <c r="I66" s="4"/>
      <c r="J66" s="4"/>
      <c r="K66" s="4"/>
      <c r="M66" s="72"/>
      <c r="N66" s="251"/>
      <c r="O66" s="251"/>
    </row>
    <row r="67" spans="1:15" x14ac:dyDescent="0.25">
      <c r="A67" s="72"/>
      <c r="B67" s="5"/>
      <c r="C67" s="4"/>
      <c r="D67" s="4"/>
      <c r="E67" s="4"/>
      <c r="F67" s="4"/>
      <c r="G67" s="4"/>
      <c r="H67" s="4"/>
      <c r="I67" s="4"/>
      <c r="J67" s="4"/>
      <c r="K67" s="4"/>
      <c r="M67" s="72"/>
      <c r="N67" s="94"/>
      <c r="O67" s="94"/>
    </row>
    <row r="68" spans="1:15" x14ac:dyDescent="0.25">
      <c r="A68" s="72"/>
      <c r="B68" s="5" t="s">
        <v>303</v>
      </c>
      <c r="C68" s="5" t="s">
        <v>321</v>
      </c>
      <c r="D68" s="5"/>
      <c r="E68" s="5"/>
      <c r="F68" s="5"/>
      <c r="G68" s="5"/>
      <c r="H68" s="5"/>
      <c r="I68" s="5"/>
      <c r="J68" s="4"/>
      <c r="K68" s="4"/>
      <c r="M68" s="72"/>
      <c r="N68" s="94"/>
      <c r="O68" s="94"/>
    </row>
    <row r="69" spans="1:15" x14ac:dyDescent="0.25">
      <c r="A69" s="72"/>
      <c r="B69" s="5"/>
      <c r="C69" s="247"/>
      <c r="D69" s="248"/>
      <c r="E69" s="248"/>
      <c r="F69" s="248"/>
      <c r="G69" s="249"/>
      <c r="H69" s="4"/>
      <c r="I69" s="4"/>
      <c r="J69" s="4"/>
      <c r="K69" s="4"/>
      <c r="L69" s="1">
        <f>IF(C69="significantly encourage the use of sustainable transport",2, IF(C69="slightly encourage the use of sustainable transport ",1, IF(C69="not applicable/no impact",0, IF(C69="slightly discourage the use of sustainable transport", -1, IF(C69="Significantly discourage the use of sustainable transport ", -2, IF(C69="",20, ""))))))</f>
        <v>20</v>
      </c>
      <c r="M69" s="72"/>
      <c r="N69" s="94"/>
      <c r="O69" s="94"/>
    </row>
    <row r="70" spans="1:15" x14ac:dyDescent="0.25">
      <c r="A70" s="72"/>
      <c r="B70" s="5"/>
      <c r="C70" s="4"/>
      <c r="D70" s="4"/>
      <c r="E70" s="4"/>
      <c r="F70" s="4"/>
      <c r="G70" s="4"/>
      <c r="H70" s="4"/>
      <c r="I70" s="4"/>
      <c r="J70" s="4"/>
      <c r="K70" s="4"/>
      <c r="M70" s="72"/>
      <c r="N70" s="94"/>
      <c r="O70" s="94"/>
    </row>
    <row r="71" spans="1:15" x14ac:dyDescent="0.25">
      <c r="A71" s="72"/>
      <c r="B71" s="5" t="s">
        <v>304</v>
      </c>
      <c r="C71" s="5" t="s">
        <v>307</v>
      </c>
      <c r="D71" s="4"/>
      <c r="E71" s="4"/>
      <c r="F71" s="4"/>
      <c r="G71" s="4"/>
      <c r="H71" s="4"/>
      <c r="I71" s="4"/>
      <c r="J71" s="4"/>
      <c r="K71" s="4"/>
      <c r="M71" s="72"/>
      <c r="N71" s="94"/>
      <c r="O71" s="94"/>
    </row>
    <row r="72" spans="1:15" x14ac:dyDescent="0.25">
      <c r="A72" s="72"/>
      <c r="B72" s="124"/>
      <c r="C72" s="244"/>
      <c r="D72" s="245"/>
      <c r="E72" s="245"/>
      <c r="F72" s="245"/>
      <c r="G72" s="246"/>
      <c r="H72" s="86"/>
      <c r="I72" s="86"/>
      <c r="J72" s="4"/>
      <c r="K72" s="4"/>
      <c r="L72" s="59" t="str">
        <f>IF(C72="yes",2,IF(C72="no",1,"0"))</f>
        <v>0</v>
      </c>
      <c r="M72" s="72"/>
    </row>
    <row r="73" spans="1:15" x14ac:dyDescent="0.25">
      <c r="A73" s="72"/>
      <c r="B73" s="5"/>
      <c r="C73" s="4"/>
      <c r="D73" s="4"/>
      <c r="E73" s="4"/>
      <c r="F73" s="4"/>
      <c r="G73" s="4"/>
      <c r="H73" s="4"/>
      <c r="I73" s="4"/>
      <c r="J73" s="4"/>
      <c r="K73" s="4"/>
      <c r="M73" s="72"/>
      <c r="N73" s="96"/>
      <c r="O73" s="96"/>
    </row>
    <row r="74" spans="1:15" ht="14.45" customHeight="1" x14ac:dyDescent="0.25">
      <c r="A74" s="72"/>
      <c r="B74" s="5" t="s">
        <v>305</v>
      </c>
      <c r="C74" s="5" t="s">
        <v>322</v>
      </c>
      <c r="D74" s="5"/>
      <c r="E74" s="5"/>
      <c r="F74" s="5"/>
      <c r="G74" s="5"/>
      <c r="H74" s="5"/>
      <c r="I74" s="5"/>
      <c r="J74" s="4"/>
      <c r="K74" s="4"/>
      <c r="M74" s="72"/>
      <c r="O74" s="96"/>
    </row>
    <row r="75" spans="1:15" ht="15" customHeight="1" x14ac:dyDescent="0.25">
      <c r="A75" s="72"/>
      <c r="B75" s="5"/>
      <c r="C75" s="247"/>
      <c r="D75" s="248"/>
      <c r="E75" s="248"/>
      <c r="F75" s="248"/>
      <c r="G75" s="249"/>
      <c r="H75" s="4"/>
      <c r="I75" s="4"/>
      <c r="J75" s="4"/>
      <c r="K75" s="4"/>
      <c r="L75" s="59" t="str">
        <f>IF(C75="yes",2,IF(C75="no",1,"0"))</f>
        <v>0</v>
      </c>
      <c r="M75" s="72"/>
      <c r="N75" s="255"/>
      <c r="O75" s="255"/>
    </row>
    <row r="76" spans="1:15" x14ac:dyDescent="0.25">
      <c r="A76" s="72"/>
      <c r="B76" s="5"/>
      <c r="C76" s="4"/>
      <c r="D76" s="4"/>
      <c r="E76" s="4"/>
      <c r="F76" s="4"/>
      <c r="G76" s="4"/>
      <c r="H76" s="4"/>
      <c r="I76" s="4"/>
      <c r="J76" s="4"/>
      <c r="K76" s="4"/>
      <c r="L76" s="3">
        <f>IF(C69="",20,((L69*L72)*L75))</f>
        <v>20</v>
      </c>
      <c r="M76" s="72"/>
      <c r="N76" s="255"/>
      <c r="O76" s="255"/>
    </row>
    <row r="77" spans="1:15" x14ac:dyDescent="0.25">
      <c r="A77" s="72"/>
      <c r="B77" s="5" t="s">
        <v>21</v>
      </c>
      <c r="C77" s="5" t="s">
        <v>560</v>
      </c>
      <c r="D77" s="4"/>
      <c r="E77" s="4"/>
      <c r="F77" s="4"/>
      <c r="G77" s="4"/>
      <c r="H77" s="4"/>
      <c r="I77" s="4"/>
      <c r="J77" s="4"/>
      <c r="K77" s="4"/>
      <c r="M77" s="72"/>
      <c r="N77" s="97"/>
      <c r="O77" s="97"/>
    </row>
    <row r="78" spans="1:15" ht="38.25" customHeight="1" x14ac:dyDescent="0.25">
      <c r="A78" s="72"/>
      <c r="B78" s="5"/>
      <c r="C78" s="257"/>
      <c r="D78" s="257"/>
      <c r="E78" s="257"/>
      <c r="F78" s="257"/>
      <c r="G78" s="257"/>
      <c r="H78" s="4"/>
      <c r="I78" s="4"/>
      <c r="J78" s="4"/>
      <c r="K78" s="4"/>
      <c r="L78" s="19">
        <f>IF(C78="",0,1)</f>
        <v>0</v>
      </c>
      <c r="M78" s="72"/>
    </row>
    <row r="79" spans="1:15" x14ac:dyDescent="0.25">
      <c r="A79" s="72"/>
      <c r="B79" s="5"/>
      <c r="C79" s="4"/>
      <c r="D79" s="4"/>
      <c r="E79" s="4"/>
      <c r="F79" s="4"/>
      <c r="G79" s="4"/>
      <c r="H79" s="4"/>
      <c r="I79" s="4"/>
      <c r="J79" s="4"/>
      <c r="K79" s="4"/>
      <c r="M79" s="72"/>
    </row>
    <row r="80" spans="1:15" ht="14.1" customHeight="1" x14ac:dyDescent="0.25">
      <c r="A80" s="72"/>
      <c r="B80" s="72"/>
      <c r="C80" s="72"/>
      <c r="D80" s="72"/>
      <c r="E80" s="72"/>
      <c r="F80" s="72"/>
      <c r="G80" s="72"/>
      <c r="H80" s="72"/>
      <c r="I80" s="72"/>
      <c r="J80" s="72"/>
      <c r="K80" s="72"/>
      <c r="M80" s="72"/>
      <c r="N80" s="94"/>
    </row>
    <row r="81" spans="1:15" ht="18.75" customHeight="1" x14ac:dyDescent="0.3">
      <c r="A81" s="72"/>
      <c r="B81" s="6" t="s">
        <v>15</v>
      </c>
      <c r="C81" s="4"/>
      <c r="D81" s="4"/>
      <c r="E81" s="4"/>
      <c r="F81" s="4"/>
      <c r="G81" s="4"/>
      <c r="H81" s="4"/>
      <c r="I81" s="4"/>
      <c r="J81" s="4"/>
      <c r="K81" s="4"/>
      <c r="M81" s="72"/>
      <c r="N81" s="6"/>
    </row>
    <row r="82" spans="1:15" ht="81" customHeight="1" x14ac:dyDescent="0.25">
      <c r="A82" s="72"/>
      <c r="B82" s="258" t="s">
        <v>575</v>
      </c>
      <c r="C82" s="258"/>
      <c r="D82" s="258"/>
      <c r="E82" s="258"/>
      <c r="F82" s="258"/>
      <c r="G82" s="258"/>
      <c r="H82" s="258"/>
      <c r="I82" s="258"/>
      <c r="J82" s="4"/>
      <c r="K82" s="4"/>
      <c r="M82" s="72"/>
      <c r="N82" s="251"/>
      <c r="O82" s="251"/>
    </row>
    <row r="83" spans="1:15" x14ac:dyDescent="0.25">
      <c r="A83" s="72"/>
      <c r="C83" s="234" t="s">
        <v>327</v>
      </c>
      <c r="D83" s="234"/>
      <c r="E83" s="235" t="s">
        <v>337</v>
      </c>
      <c r="F83" s="235"/>
      <c r="G83" s="125" t="s">
        <v>348</v>
      </c>
      <c r="H83" s="4"/>
      <c r="I83" s="4"/>
      <c r="J83" s="4"/>
      <c r="K83" s="4"/>
      <c r="M83" s="72"/>
      <c r="N83" s="97"/>
      <c r="O83" s="97"/>
    </row>
    <row r="84" spans="1:15" x14ac:dyDescent="0.25">
      <c r="A84" s="72"/>
      <c r="B84" s="5"/>
      <c r="C84" s="4"/>
      <c r="D84" s="4"/>
      <c r="E84" s="4"/>
      <c r="F84" s="4"/>
      <c r="G84" s="4"/>
      <c r="H84" s="4"/>
      <c r="I84" s="4"/>
      <c r="J84" s="4"/>
      <c r="K84" s="4"/>
      <c r="M84" s="72"/>
      <c r="N84" s="251"/>
      <c r="O84" s="251"/>
    </row>
    <row r="85" spans="1:15" x14ac:dyDescent="0.25">
      <c r="A85" s="72"/>
      <c r="B85" s="5" t="s">
        <v>303</v>
      </c>
      <c r="C85" s="5" t="s">
        <v>319</v>
      </c>
      <c r="D85" s="5"/>
      <c r="E85" s="5"/>
      <c r="F85" s="5"/>
      <c r="G85" s="5"/>
      <c r="H85" s="5"/>
      <c r="I85" s="5"/>
      <c r="J85" s="4"/>
      <c r="K85" s="4"/>
      <c r="M85" s="72"/>
      <c r="O85" s="98"/>
    </row>
    <row r="86" spans="1:15" x14ac:dyDescent="0.25">
      <c r="A86" s="72"/>
      <c r="B86" s="5"/>
      <c r="C86" s="247"/>
      <c r="D86" s="248"/>
      <c r="E86" s="248"/>
      <c r="F86" s="248"/>
      <c r="G86" s="249"/>
      <c r="H86" s="4"/>
      <c r="I86" s="4"/>
      <c r="J86" s="4"/>
      <c r="K86" s="4"/>
      <c r="L86" s="1">
        <f>IF(C86="Significant change to land use that increases positive impacts",2, IF(C86="slight change to land use that increases positive impacts",1, IF(C86="not applicable/no impact",0, IF(C86="slight change to land use that increases negative impacts", -1, IF(C86="significant change to land use that increases negative impacts", -2, IF(C86="",20,""))))))</f>
        <v>20</v>
      </c>
      <c r="M86" s="72"/>
      <c r="N86" s="94"/>
      <c r="O86" s="99"/>
    </row>
    <row r="87" spans="1:15" x14ac:dyDescent="0.25">
      <c r="A87" s="72"/>
      <c r="B87" s="5"/>
      <c r="C87" s="4"/>
      <c r="D87" s="4"/>
      <c r="E87" s="4"/>
      <c r="F87" s="4"/>
      <c r="G87" s="4"/>
      <c r="H87" s="4"/>
      <c r="I87" s="4"/>
      <c r="J87" s="4"/>
      <c r="K87" s="4"/>
      <c r="M87" s="72"/>
      <c r="N87" s="94"/>
      <c r="O87" s="100"/>
    </row>
    <row r="88" spans="1:15" x14ac:dyDescent="0.25">
      <c r="A88" s="72"/>
      <c r="B88" s="5" t="s">
        <v>304</v>
      </c>
      <c r="C88" s="5" t="s">
        <v>307</v>
      </c>
      <c r="D88" s="4"/>
      <c r="E88" s="4"/>
      <c r="F88" s="4"/>
      <c r="G88" s="4"/>
      <c r="H88" s="4"/>
      <c r="I88" s="4"/>
      <c r="J88" s="4"/>
      <c r="K88" s="4"/>
      <c r="M88" s="72"/>
      <c r="N88" s="94"/>
      <c r="O88" s="94"/>
    </row>
    <row r="89" spans="1:15" x14ac:dyDescent="0.25">
      <c r="A89" s="72"/>
      <c r="B89" s="124"/>
      <c r="C89" s="244"/>
      <c r="D89" s="245"/>
      <c r="E89" s="245"/>
      <c r="F89" s="245"/>
      <c r="G89" s="246"/>
      <c r="H89" s="86"/>
      <c r="I89" s="86"/>
      <c r="J89" s="4"/>
      <c r="K89" s="4"/>
      <c r="L89" s="1" t="str">
        <f>IF(C89="yes",2,IF(C89="no",1,IF(L86=0,0,"")))</f>
        <v/>
      </c>
      <c r="M89" s="72"/>
      <c r="N89" s="94"/>
      <c r="O89" s="94"/>
    </row>
    <row r="90" spans="1:15" ht="15" customHeight="1" x14ac:dyDescent="0.25">
      <c r="A90" s="72"/>
      <c r="B90" s="5"/>
      <c r="C90" s="4"/>
      <c r="D90" s="4"/>
      <c r="E90" s="4"/>
      <c r="F90" s="4"/>
      <c r="G90" s="4"/>
      <c r="H90" s="4"/>
      <c r="I90" s="4"/>
      <c r="J90" s="4"/>
      <c r="K90" s="4"/>
      <c r="M90" s="72"/>
      <c r="N90" s="251"/>
      <c r="O90" s="96"/>
    </row>
    <row r="91" spans="1:15" x14ac:dyDescent="0.25">
      <c r="A91" s="72"/>
      <c r="B91" s="5" t="s">
        <v>305</v>
      </c>
      <c r="C91" s="5" t="s">
        <v>320</v>
      </c>
      <c r="D91" s="5"/>
      <c r="E91" s="5"/>
      <c r="F91" s="5"/>
      <c r="G91" s="5"/>
      <c r="H91" s="5"/>
      <c r="I91" s="5"/>
      <c r="J91" s="4"/>
      <c r="K91" s="4"/>
      <c r="M91" s="72"/>
      <c r="N91" s="251"/>
      <c r="O91" s="96"/>
    </row>
    <row r="92" spans="1:15" x14ac:dyDescent="0.25">
      <c r="A92" s="72"/>
      <c r="B92" s="5"/>
      <c r="C92" s="247"/>
      <c r="D92" s="248"/>
      <c r="E92" s="248"/>
      <c r="F92" s="248"/>
      <c r="G92" s="249"/>
      <c r="H92" s="4"/>
      <c r="I92" s="4"/>
      <c r="J92" s="4"/>
      <c r="K92" s="4"/>
      <c r="L92" s="1" t="str">
        <f>IF(C92="yes",2,IF(C92="no",1,IF(L86=0,0,"")))</f>
        <v/>
      </c>
      <c r="M92" s="72"/>
      <c r="N92" s="96"/>
      <c r="O92" s="96"/>
    </row>
    <row r="93" spans="1:15" x14ac:dyDescent="0.25">
      <c r="A93" s="72"/>
      <c r="B93" s="5"/>
      <c r="C93" s="4"/>
      <c r="D93" s="4"/>
      <c r="E93" s="4"/>
      <c r="F93" s="4"/>
      <c r="G93" s="4"/>
      <c r="H93" s="4"/>
      <c r="I93" s="4"/>
      <c r="J93" s="4"/>
      <c r="K93" s="4"/>
      <c r="L93" s="3">
        <f>IF(C86="",20,((L86*L89)*L92))</f>
        <v>20</v>
      </c>
      <c r="M93" s="72"/>
    </row>
    <row r="94" spans="1:15" ht="15" customHeight="1" x14ac:dyDescent="0.25">
      <c r="A94" s="72"/>
      <c r="B94" s="5" t="s">
        <v>21</v>
      </c>
      <c r="C94" s="5" t="s">
        <v>560</v>
      </c>
      <c r="D94" s="4"/>
      <c r="E94" s="4"/>
      <c r="F94" s="4"/>
      <c r="G94" s="4"/>
      <c r="H94" s="4"/>
      <c r="I94" s="4"/>
      <c r="J94" s="4"/>
      <c r="K94" s="4"/>
      <c r="M94" s="72"/>
      <c r="N94" s="255"/>
      <c r="O94" s="255"/>
    </row>
    <row r="95" spans="1:15" ht="69.75" customHeight="1" x14ac:dyDescent="0.25">
      <c r="A95" s="72"/>
      <c r="B95" s="5"/>
      <c r="C95" s="257"/>
      <c r="D95" s="257"/>
      <c r="E95" s="257"/>
      <c r="F95" s="257"/>
      <c r="G95" s="257"/>
      <c r="H95" s="4"/>
      <c r="I95" s="4"/>
      <c r="J95" s="4"/>
      <c r="K95" s="4"/>
      <c r="L95" s="19">
        <f>IF(C95="",0,1)</f>
        <v>0</v>
      </c>
      <c r="M95" s="72"/>
      <c r="N95" s="255"/>
      <c r="O95" s="255"/>
    </row>
    <row r="96" spans="1:15" x14ac:dyDescent="0.25">
      <c r="A96" s="72"/>
      <c r="B96" s="4"/>
      <c r="C96" s="4"/>
      <c r="D96" s="4"/>
      <c r="E96" s="4"/>
      <c r="F96" s="4"/>
      <c r="G96" s="4"/>
      <c r="H96" s="4"/>
      <c r="I96" s="4"/>
      <c r="J96" s="4"/>
      <c r="K96" s="4"/>
      <c r="M96" s="72"/>
    </row>
    <row r="97" spans="1:15" x14ac:dyDescent="0.25">
      <c r="A97" s="72"/>
      <c r="B97" s="72"/>
      <c r="C97" s="72"/>
      <c r="D97" s="72"/>
      <c r="E97" s="72"/>
      <c r="F97" s="72"/>
      <c r="G97" s="72"/>
      <c r="H97" s="72"/>
      <c r="I97" s="72"/>
      <c r="J97" s="72"/>
      <c r="K97" s="72"/>
      <c r="M97" s="72"/>
    </row>
    <row r="98" spans="1:15" ht="18.75" x14ac:dyDescent="0.3">
      <c r="A98" s="72"/>
      <c r="B98" s="6" t="s">
        <v>17</v>
      </c>
      <c r="C98" s="4"/>
      <c r="D98" s="4"/>
      <c r="E98" s="4"/>
      <c r="F98" s="4"/>
      <c r="G98" s="4"/>
      <c r="H98" s="4"/>
      <c r="I98" s="4"/>
      <c r="J98" s="4"/>
      <c r="K98" s="4"/>
      <c r="L98" s="3"/>
      <c r="M98" s="72"/>
      <c r="N98" s="6"/>
    </row>
    <row r="99" spans="1:15" ht="105.75" customHeight="1" x14ac:dyDescent="0.25">
      <c r="A99" s="72"/>
      <c r="B99" s="215" t="s">
        <v>339</v>
      </c>
      <c r="C99" s="215"/>
      <c r="D99" s="215"/>
      <c r="E99" s="215"/>
      <c r="F99" s="215"/>
      <c r="G99" s="215"/>
      <c r="H99" s="215"/>
      <c r="I99" s="215"/>
      <c r="J99" s="4"/>
      <c r="K99" s="4"/>
      <c r="M99" s="72"/>
      <c r="N99" s="250"/>
      <c r="O99" s="250"/>
    </row>
    <row r="100" spans="1:15" ht="14.45" customHeight="1" x14ac:dyDescent="0.25">
      <c r="A100" s="72"/>
      <c r="B100" s="7"/>
      <c r="C100" s="234" t="s">
        <v>296</v>
      </c>
      <c r="D100" s="234"/>
      <c r="E100" s="235" t="s">
        <v>337</v>
      </c>
      <c r="F100" s="235"/>
      <c r="G100" s="125" t="s">
        <v>348</v>
      </c>
      <c r="H100" s="4"/>
      <c r="I100" s="4"/>
      <c r="J100" s="4"/>
      <c r="K100" s="4"/>
      <c r="M100" s="72"/>
      <c r="N100" s="101"/>
      <c r="O100" s="96"/>
    </row>
    <row r="101" spans="1:15" x14ac:dyDescent="0.25">
      <c r="A101" s="72"/>
      <c r="B101" s="4"/>
      <c r="C101" s="4"/>
      <c r="D101" s="4"/>
      <c r="E101" s="4"/>
      <c r="F101" s="4"/>
      <c r="G101" s="4"/>
      <c r="H101" s="4"/>
      <c r="I101" s="4"/>
      <c r="J101" s="4"/>
      <c r="K101" s="4"/>
      <c r="M101" s="72"/>
      <c r="N101" s="96"/>
      <c r="O101" s="96"/>
    </row>
    <row r="102" spans="1:15" x14ac:dyDescent="0.25">
      <c r="A102" s="72"/>
      <c r="B102" s="5" t="s">
        <v>303</v>
      </c>
      <c r="C102" s="5" t="s">
        <v>317</v>
      </c>
      <c r="D102" s="5"/>
      <c r="E102" s="5"/>
      <c r="F102" s="5"/>
      <c r="G102" s="5"/>
      <c r="H102" s="5"/>
      <c r="I102" s="5"/>
      <c r="J102" s="4"/>
      <c r="K102" s="4"/>
      <c r="M102" s="72"/>
      <c r="N102" s="94"/>
      <c r="O102" s="99"/>
    </row>
    <row r="103" spans="1:15" x14ac:dyDescent="0.25">
      <c r="A103" s="72"/>
      <c r="B103" s="5"/>
      <c r="C103" s="247"/>
      <c r="D103" s="248"/>
      <c r="E103" s="248"/>
      <c r="F103" s="248"/>
      <c r="G103" s="249"/>
      <c r="H103" s="4"/>
      <c r="I103" s="4"/>
      <c r="J103" s="4"/>
      <c r="K103" s="4"/>
      <c r="L103" s="1">
        <f>IF(C103="Significantly improve biodiversity by restoring or creating new habitats",2, IF(C103="Slightly improve biodiversity by improving existing habitats or supporting species",1, IF(C103="not applicable/no impact",0, IF(C103="Slightly reduce biodiversity by impacting the quality of habitats or affecting species", -1, IF(C103="Significantly reduce biodiversity by reducing or replacing existing habitat(s)", -2, IF(C103="",20,""))))))</f>
        <v>20</v>
      </c>
      <c r="M103" s="72"/>
    </row>
    <row r="104" spans="1:15" x14ac:dyDescent="0.25">
      <c r="A104" s="72"/>
      <c r="B104" s="5"/>
      <c r="C104" s="4"/>
      <c r="D104" s="4"/>
      <c r="E104" s="4"/>
      <c r="F104" s="4"/>
      <c r="G104" s="4"/>
      <c r="H104" s="4"/>
      <c r="I104" s="4"/>
      <c r="J104" s="4"/>
      <c r="K104" s="4"/>
      <c r="M104" s="72"/>
    </row>
    <row r="105" spans="1:15" x14ac:dyDescent="0.25">
      <c r="A105" s="72"/>
      <c r="B105" s="5" t="s">
        <v>304</v>
      </c>
      <c r="C105" s="5" t="s">
        <v>307</v>
      </c>
      <c r="D105" s="4"/>
      <c r="E105" s="4"/>
      <c r="F105" s="4"/>
      <c r="G105" s="4"/>
      <c r="H105" s="4"/>
      <c r="I105" s="4"/>
      <c r="J105" s="4"/>
      <c r="K105" s="4"/>
      <c r="M105" s="72"/>
    </row>
    <row r="106" spans="1:15" x14ac:dyDescent="0.25">
      <c r="A106" s="72"/>
      <c r="B106" s="124"/>
      <c r="C106" s="244"/>
      <c r="D106" s="245"/>
      <c r="E106" s="245"/>
      <c r="F106" s="245"/>
      <c r="G106" s="246"/>
      <c r="H106" s="86"/>
      <c r="I106" s="86"/>
      <c r="J106" s="4"/>
      <c r="K106" s="4"/>
      <c r="L106" s="1" t="str">
        <f>IF(C106="yes",2,IF(C106="no",1,IF(L103=0,0,"")))</f>
        <v/>
      </c>
      <c r="M106" s="72"/>
      <c r="N106" s="96"/>
      <c r="O106" s="96"/>
    </row>
    <row r="107" spans="1:15" x14ac:dyDescent="0.25">
      <c r="A107" s="72"/>
      <c r="B107" s="5"/>
      <c r="C107" s="4"/>
      <c r="D107" s="4"/>
      <c r="E107" s="4"/>
      <c r="F107" s="4"/>
      <c r="G107" s="4"/>
      <c r="H107" s="4"/>
      <c r="I107" s="4"/>
      <c r="J107" s="4"/>
      <c r="K107" s="4"/>
      <c r="M107" s="72"/>
      <c r="N107" s="96"/>
      <c r="O107" s="96"/>
    </row>
    <row r="108" spans="1:15" x14ac:dyDescent="0.25">
      <c r="A108" s="72"/>
      <c r="B108" s="5" t="s">
        <v>305</v>
      </c>
      <c r="C108" s="5" t="s">
        <v>318</v>
      </c>
      <c r="D108" s="5"/>
      <c r="E108" s="5"/>
      <c r="F108" s="5"/>
      <c r="G108" s="5"/>
      <c r="H108" s="5"/>
      <c r="I108" s="5"/>
      <c r="J108" s="4"/>
      <c r="K108" s="4"/>
      <c r="M108" s="72"/>
      <c r="N108" s="96"/>
      <c r="O108" s="96"/>
    </row>
    <row r="109" spans="1:15" x14ac:dyDescent="0.25">
      <c r="A109" s="72"/>
      <c r="B109" s="5"/>
      <c r="C109" s="247"/>
      <c r="D109" s="248"/>
      <c r="E109" s="248"/>
      <c r="F109" s="248"/>
      <c r="G109" s="249"/>
      <c r="H109" s="4"/>
      <c r="I109" s="4"/>
      <c r="J109" s="4"/>
      <c r="K109" s="4"/>
      <c r="L109" s="1" t="str">
        <f>IF(C109="yes",2,IF(C109="no",1,IF(L103=0,0,"")))</f>
        <v/>
      </c>
      <c r="M109" s="72"/>
    </row>
    <row r="110" spans="1:15" ht="15" customHeight="1" x14ac:dyDescent="0.25">
      <c r="A110" s="72"/>
      <c r="B110" s="5"/>
      <c r="C110" s="4"/>
      <c r="D110" s="4"/>
      <c r="E110" s="4"/>
      <c r="F110" s="4"/>
      <c r="G110" s="4"/>
      <c r="H110" s="4"/>
      <c r="I110" s="4"/>
      <c r="J110" s="4"/>
      <c r="K110" s="4"/>
      <c r="L110" s="3">
        <f>IF(C103="",20,((L103*L106)*L109))</f>
        <v>20</v>
      </c>
      <c r="M110" s="72"/>
      <c r="N110" s="96"/>
      <c r="O110" s="96"/>
    </row>
    <row r="111" spans="1:15" x14ac:dyDescent="0.25">
      <c r="A111" s="72"/>
      <c r="B111" s="5" t="s">
        <v>21</v>
      </c>
      <c r="C111" s="5" t="s">
        <v>560</v>
      </c>
      <c r="D111" s="4"/>
      <c r="E111" s="4"/>
      <c r="F111" s="4"/>
      <c r="G111" s="4"/>
      <c r="H111" s="4"/>
      <c r="I111" s="4"/>
      <c r="J111" s="4"/>
      <c r="K111" s="4"/>
      <c r="M111" s="72"/>
      <c r="N111" s="96"/>
      <c r="O111" s="96"/>
    </row>
    <row r="112" spans="1:15" ht="43.5" customHeight="1" x14ac:dyDescent="0.25">
      <c r="A112" s="72"/>
      <c r="B112" s="5"/>
      <c r="C112" s="257"/>
      <c r="D112" s="257"/>
      <c r="E112" s="257"/>
      <c r="F112" s="257"/>
      <c r="G112" s="257"/>
      <c r="H112" s="4"/>
      <c r="I112" s="4"/>
      <c r="J112" s="4"/>
      <c r="K112" s="4"/>
      <c r="L112" s="19">
        <f>IF(C112="",0,1)</f>
        <v>0</v>
      </c>
      <c r="M112" s="72"/>
      <c r="N112" s="96"/>
      <c r="O112" s="96"/>
    </row>
    <row r="113" spans="1:15" x14ac:dyDescent="0.25">
      <c r="A113" s="72"/>
      <c r="B113" s="4"/>
      <c r="C113" s="4"/>
      <c r="D113" s="4"/>
      <c r="E113" s="4"/>
      <c r="F113" s="4"/>
      <c r="G113" s="4"/>
      <c r="H113" s="4"/>
      <c r="I113" s="4"/>
      <c r="J113" s="4"/>
      <c r="K113" s="4"/>
      <c r="L113" s="4"/>
      <c r="M113" s="72"/>
    </row>
    <row r="114" spans="1:15" x14ac:dyDescent="0.25">
      <c r="A114" s="72"/>
      <c r="B114" s="72"/>
      <c r="C114" s="72"/>
      <c r="D114" s="72"/>
      <c r="E114" s="72"/>
      <c r="F114" s="72"/>
      <c r="G114" s="72"/>
      <c r="H114" s="72"/>
      <c r="I114" s="72"/>
      <c r="J114" s="72"/>
      <c r="K114" s="72"/>
      <c r="L114" s="72"/>
      <c r="M114" s="72"/>
      <c r="N114" s="94"/>
    </row>
    <row r="115" spans="1:15" ht="18.75" customHeight="1" x14ac:dyDescent="0.3">
      <c r="A115" s="72"/>
      <c r="B115" s="6" t="s">
        <v>262</v>
      </c>
      <c r="C115" s="4"/>
      <c r="D115" s="4"/>
      <c r="E115" s="4"/>
      <c r="F115" s="4"/>
      <c r="G115" s="4"/>
      <c r="H115" s="4"/>
      <c r="I115" s="4"/>
      <c r="J115" s="4"/>
      <c r="K115" s="4"/>
      <c r="L115" s="3"/>
      <c r="M115" s="72"/>
      <c r="N115" s="6"/>
    </row>
    <row r="116" spans="1:15" ht="218.25" customHeight="1" x14ac:dyDescent="0.25">
      <c r="A116" s="72"/>
      <c r="B116" s="258" t="s">
        <v>576</v>
      </c>
      <c r="C116" s="258"/>
      <c r="D116" s="258"/>
      <c r="E116" s="258"/>
      <c r="F116" s="258"/>
      <c r="G116" s="258"/>
      <c r="H116" s="258"/>
      <c r="I116" s="258"/>
      <c r="J116" s="4"/>
      <c r="K116" s="4"/>
      <c r="M116" s="72"/>
      <c r="N116" s="96"/>
      <c r="O116" s="96"/>
    </row>
    <row r="117" spans="1:15" x14ac:dyDescent="0.25">
      <c r="A117" s="72"/>
      <c r="B117" s="7"/>
      <c r="C117" s="239" t="s">
        <v>296</v>
      </c>
      <c r="D117" s="239"/>
      <c r="E117" s="235" t="s">
        <v>337</v>
      </c>
      <c r="F117" s="235"/>
      <c r="G117" s="125" t="s">
        <v>348</v>
      </c>
      <c r="H117" s="4"/>
      <c r="I117" s="4"/>
      <c r="J117" s="4"/>
      <c r="K117" s="4"/>
      <c r="M117" s="72"/>
      <c r="N117" s="96"/>
      <c r="O117" s="96"/>
    </row>
    <row r="118" spans="1:15" x14ac:dyDescent="0.25">
      <c r="A118" s="72"/>
      <c r="B118" s="4"/>
      <c r="C118" s="4"/>
      <c r="D118" s="4"/>
      <c r="E118" s="4"/>
      <c r="F118" s="4"/>
      <c r="G118" s="4"/>
      <c r="H118" s="4"/>
      <c r="I118" s="4"/>
      <c r="J118" s="4"/>
      <c r="K118" s="4"/>
      <c r="M118" s="72"/>
      <c r="N118" s="96"/>
      <c r="O118" s="96"/>
    </row>
    <row r="119" spans="1:15" x14ac:dyDescent="0.25">
      <c r="A119" s="72"/>
      <c r="B119" s="5" t="s">
        <v>303</v>
      </c>
      <c r="C119" s="5" t="s">
        <v>315</v>
      </c>
      <c r="D119" s="5"/>
      <c r="E119" s="5"/>
      <c r="F119" s="5"/>
      <c r="G119" s="5"/>
      <c r="H119" s="5"/>
      <c r="I119" s="5"/>
      <c r="J119" s="4"/>
      <c r="K119" s="4"/>
      <c r="M119" s="72"/>
      <c r="N119" s="101"/>
    </row>
    <row r="120" spans="1:15" x14ac:dyDescent="0.25">
      <c r="A120" s="72"/>
      <c r="B120" s="5"/>
      <c r="C120" s="247"/>
      <c r="D120" s="248"/>
      <c r="E120" s="248"/>
      <c r="F120" s="248"/>
      <c r="G120" s="249"/>
      <c r="H120" s="4"/>
      <c r="I120" s="4"/>
      <c r="J120" s="4"/>
      <c r="K120" s="4"/>
      <c r="L120" s="1">
        <f>IF(C120="significant decrease in pollutants in soil or water",2, IF(C120="slight decrease in pollutants in soil or water",1, IF(C120="not applicable/no impact",0, IF(C120="slight increase in pollutants in soil or water", -1, IF(C120="Significant increase in pollutants in soil or water", -2, IF(C120="",20,""))))))</f>
        <v>20</v>
      </c>
      <c r="M120" s="72"/>
    </row>
    <row r="121" spans="1:15" x14ac:dyDescent="0.25">
      <c r="A121" s="72"/>
      <c r="B121" s="5"/>
      <c r="C121" s="4"/>
      <c r="D121" s="4"/>
      <c r="E121" s="4"/>
      <c r="F121" s="4"/>
      <c r="G121" s="4"/>
      <c r="H121" s="4"/>
      <c r="I121" s="4"/>
      <c r="J121" s="4"/>
      <c r="K121" s="4"/>
      <c r="M121" s="72"/>
      <c r="N121" s="94"/>
      <c r="O121" s="99"/>
    </row>
    <row r="122" spans="1:15" x14ac:dyDescent="0.25">
      <c r="A122" s="72"/>
      <c r="B122" s="5" t="s">
        <v>304</v>
      </c>
      <c r="C122" s="5" t="s">
        <v>307</v>
      </c>
      <c r="D122" s="4"/>
      <c r="E122" s="4"/>
      <c r="F122" s="4"/>
      <c r="G122" s="4"/>
      <c r="H122" s="4"/>
      <c r="I122" s="4"/>
      <c r="J122" s="4"/>
      <c r="K122" s="4"/>
      <c r="M122" s="72"/>
      <c r="N122" s="96"/>
      <c r="O122" s="96"/>
    </row>
    <row r="123" spans="1:15" x14ac:dyDescent="0.25">
      <c r="A123" s="72"/>
      <c r="B123" s="124"/>
      <c r="C123" s="244"/>
      <c r="D123" s="245"/>
      <c r="E123" s="245"/>
      <c r="F123" s="245"/>
      <c r="G123" s="246"/>
      <c r="H123" s="86"/>
      <c r="I123" s="86"/>
      <c r="J123" s="4"/>
      <c r="K123" s="4"/>
      <c r="L123" s="1" t="str">
        <f>IF(C123="yes",2,IF(C123="no",1,IF(L120=0,0,"")))</f>
        <v/>
      </c>
      <c r="M123" s="72"/>
    </row>
    <row r="124" spans="1:15" x14ac:dyDescent="0.25">
      <c r="A124" s="72"/>
      <c r="B124" s="5"/>
      <c r="C124" s="4"/>
      <c r="D124" s="4"/>
      <c r="E124" s="4"/>
      <c r="F124" s="4"/>
      <c r="G124" s="4"/>
      <c r="H124" s="4"/>
      <c r="I124" s="4"/>
      <c r="J124" s="4"/>
      <c r="K124" s="4"/>
      <c r="M124" s="72"/>
      <c r="N124" s="102"/>
      <c r="O124" s="101"/>
    </row>
    <row r="125" spans="1:15" x14ac:dyDescent="0.25">
      <c r="A125" s="72"/>
      <c r="B125" s="5" t="s">
        <v>305</v>
      </c>
      <c r="C125" s="5" t="s">
        <v>316</v>
      </c>
      <c r="D125" s="5"/>
      <c r="E125" s="5"/>
      <c r="F125" s="5"/>
      <c r="G125" s="5"/>
      <c r="H125" s="5"/>
      <c r="I125" s="5"/>
      <c r="J125" s="4"/>
      <c r="K125" s="4"/>
      <c r="M125" s="72"/>
      <c r="N125" s="102"/>
      <c r="O125" s="96"/>
    </row>
    <row r="126" spans="1:15" x14ac:dyDescent="0.25">
      <c r="A126" s="72"/>
      <c r="B126" s="5"/>
      <c r="C126" s="247"/>
      <c r="D126" s="248"/>
      <c r="E126" s="248"/>
      <c r="F126" s="248"/>
      <c r="G126" s="249"/>
      <c r="H126" s="4"/>
      <c r="I126" s="4"/>
      <c r="J126" s="4"/>
      <c r="K126" s="4"/>
      <c r="L126" s="1" t="str">
        <f>IF(C126="yes",2,IF(C126="no",1,IF(L120=0,0,"")))</f>
        <v/>
      </c>
      <c r="M126" s="72"/>
      <c r="N126" s="97"/>
    </row>
    <row r="127" spans="1:15" ht="15.75" customHeight="1" x14ac:dyDescent="0.25">
      <c r="A127" s="72"/>
      <c r="B127" s="5"/>
      <c r="C127" s="4"/>
      <c r="D127" s="4"/>
      <c r="E127" s="4"/>
      <c r="F127" s="4"/>
      <c r="G127" s="4"/>
      <c r="H127" s="4"/>
      <c r="I127" s="4"/>
      <c r="J127" s="4"/>
      <c r="K127" s="4"/>
      <c r="L127" s="3">
        <f>IF(C120="",20,((L120*L123)*L126))</f>
        <v>20</v>
      </c>
      <c r="M127" s="72"/>
      <c r="O127" s="96"/>
    </row>
    <row r="128" spans="1:15" ht="15" customHeight="1" x14ac:dyDescent="0.25">
      <c r="A128" s="72"/>
      <c r="B128" s="5" t="s">
        <v>21</v>
      </c>
      <c r="C128" s="5" t="s">
        <v>560</v>
      </c>
      <c r="D128" s="4"/>
      <c r="E128" s="4"/>
      <c r="F128" s="4"/>
      <c r="G128" s="4"/>
      <c r="H128" s="4"/>
      <c r="I128" s="4"/>
      <c r="J128" s="4"/>
      <c r="K128" s="4"/>
      <c r="M128" s="72"/>
      <c r="O128" s="96"/>
    </row>
    <row r="129" spans="1:15" ht="44.1" customHeight="1" x14ac:dyDescent="0.25">
      <c r="A129" s="72"/>
      <c r="B129" s="5"/>
      <c r="C129" s="257"/>
      <c r="D129" s="257"/>
      <c r="E129" s="257"/>
      <c r="F129" s="257"/>
      <c r="G129" s="257"/>
      <c r="H129" s="4"/>
      <c r="I129" s="4"/>
      <c r="J129" s="4"/>
      <c r="K129" s="4"/>
      <c r="L129" s="19">
        <f>IF(C129="",0,1)</f>
        <v>0</v>
      </c>
      <c r="M129" s="72"/>
      <c r="N129" s="255"/>
      <c r="O129" s="255"/>
    </row>
    <row r="130" spans="1:15" ht="16.5" customHeight="1" x14ac:dyDescent="0.25">
      <c r="A130" s="72"/>
      <c r="B130" s="4"/>
      <c r="C130" s="4"/>
      <c r="D130" s="4"/>
      <c r="E130" s="4"/>
      <c r="F130" s="4"/>
      <c r="G130" s="4"/>
      <c r="H130" s="4"/>
      <c r="I130" s="4"/>
      <c r="J130" s="4"/>
      <c r="K130" s="4"/>
      <c r="M130" s="72"/>
      <c r="N130" s="255"/>
      <c r="O130" s="255"/>
    </row>
    <row r="131" spans="1:15" x14ac:dyDescent="0.25">
      <c r="A131" s="72"/>
      <c r="B131" s="72"/>
      <c r="C131" s="72"/>
      <c r="D131" s="72"/>
      <c r="E131" s="72"/>
      <c r="F131" s="72"/>
      <c r="G131" s="72"/>
      <c r="H131" s="72"/>
      <c r="I131" s="72"/>
      <c r="J131" s="72"/>
      <c r="K131" s="72"/>
      <c r="L131" s="72"/>
      <c r="M131" s="72"/>
      <c r="N131" s="94"/>
    </row>
    <row r="132" spans="1:15" ht="18.75" customHeight="1" x14ac:dyDescent="0.3">
      <c r="A132" s="72"/>
      <c r="B132" s="6" t="s">
        <v>18</v>
      </c>
      <c r="C132" s="4"/>
      <c r="D132" s="4"/>
      <c r="E132" s="4"/>
      <c r="F132" s="4"/>
      <c r="G132" s="4"/>
      <c r="H132" s="4"/>
      <c r="I132" s="4"/>
      <c r="J132" s="4"/>
      <c r="K132" s="4"/>
      <c r="L132" s="3"/>
      <c r="M132" s="72"/>
      <c r="N132" s="6"/>
    </row>
    <row r="133" spans="1:15" ht="95.25" customHeight="1" x14ac:dyDescent="0.25">
      <c r="A133" s="72"/>
      <c r="B133" s="215" t="s">
        <v>340</v>
      </c>
      <c r="C133" s="215"/>
      <c r="D133" s="215"/>
      <c r="E133" s="215"/>
      <c r="F133" s="215"/>
      <c r="G133" s="215"/>
      <c r="H133" s="215"/>
      <c r="I133" s="215"/>
      <c r="J133" s="4"/>
      <c r="K133" s="4"/>
      <c r="M133" s="72"/>
      <c r="N133" s="251"/>
      <c r="O133" s="251"/>
    </row>
    <row r="134" spans="1:15" x14ac:dyDescent="0.25">
      <c r="A134" s="72"/>
      <c r="B134" s="7"/>
      <c r="C134" s="234" t="s">
        <v>296</v>
      </c>
      <c r="D134" s="234"/>
      <c r="E134" s="235" t="s">
        <v>337</v>
      </c>
      <c r="F134" s="235"/>
      <c r="G134" s="125" t="s">
        <v>348</v>
      </c>
      <c r="H134" s="4"/>
      <c r="I134" s="4"/>
      <c r="J134" s="4"/>
      <c r="K134" s="4"/>
      <c r="M134" s="72"/>
      <c r="N134" s="96"/>
      <c r="O134" s="96"/>
    </row>
    <row r="135" spans="1:15" x14ac:dyDescent="0.25">
      <c r="A135" s="72"/>
      <c r="B135" s="4"/>
      <c r="C135" s="4"/>
      <c r="D135" s="4"/>
      <c r="E135" s="4"/>
      <c r="F135" s="4"/>
      <c r="G135" s="4"/>
      <c r="H135" s="4"/>
      <c r="I135" s="4"/>
      <c r="J135" s="4"/>
      <c r="K135" s="4"/>
      <c r="M135" s="72"/>
    </row>
    <row r="136" spans="1:15" x14ac:dyDescent="0.25">
      <c r="A136" s="72"/>
      <c r="B136" s="5" t="s">
        <v>303</v>
      </c>
      <c r="C136" s="5" t="s">
        <v>313</v>
      </c>
      <c r="D136" s="5"/>
      <c r="E136" s="5"/>
      <c r="F136" s="5"/>
      <c r="G136" s="5"/>
      <c r="H136" s="5"/>
      <c r="I136" s="5"/>
      <c r="J136" s="4"/>
      <c r="K136" s="4"/>
      <c r="M136" s="72"/>
    </row>
    <row r="137" spans="1:15" x14ac:dyDescent="0.25">
      <c r="A137" s="72"/>
      <c r="B137" s="5"/>
      <c r="C137" s="247"/>
      <c r="D137" s="248"/>
      <c r="E137" s="248"/>
      <c r="F137" s="248"/>
      <c r="G137" s="249"/>
      <c r="H137" s="4"/>
      <c r="I137" s="4"/>
      <c r="J137" s="4"/>
      <c r="K137" s="4"/>
      <c r="L137" s="1">
        <f>IF(C137="significantly increase adaptation",2, IF(C137="slightly increase adaptation",1, IF(C137="not applicable/no impact",0, IF(C137="slightly decrease adaptation", -1, IF(C137="significantly decrease adaptation", -2, IF(C137="",20,""))))))</f>
        <v>20</v>
      </c>
      <c r="M137" s="72"/>
      <c r="N137" s="94"/>
      <c r="O137" s="99"/>
    </row>
    <row r="138" spans="1:15" x14ac:dyDescent="0.25">
      <c r="A138" s="72"/>
      <c r="B138" s="5"/>
      <c r="C138" s="4"/>
      <c r="D138" s="4"/>
      <c r="E138" s="4"/>
      <c r="F138" s="4"/>
      <c r="G138" s="4"/>
      <c r="H138" s="4"/>
      <c r="I138" s="4"/>
      <c r="J138" s="4"/>
      <c r="K138" s="4"/>
      <c r="M138" s="72"/>
    </row>
    <row r="139" spans="1:15" x14ac:dyDescent="0.25">
      <c r="A139" s="72"/>
      <c r="B139" s="5" t="s">
        <v>304</v>
      </c>
      <c r="C139" s="5" t="s">
        <v>307</v>
      </c>
      <c r="D139" s="4"/>
      <c r="E139" s="4"/>
      <c r="F139" s="4"/>
      <c r="G139" s="4"/>
      <c r="H139" s="4"/>
      <c r="I139" s="4"/>
      <c r="J139" s="4"/>
      <c r="K139" s="4"/>
      <c r="M139" s="72"/>
    </row>
    <row r="140" spans="1:15" x14ac:dyDescent="0.25">
      <c r="A140" s="72"/>
      <c r="B140" s="124"/>
      <c r="C140" s="244"/>
      <c r="D140" s="245"/>
      <c r="E140" s="245"/>
      <c r="F140" s="245"/>
      <c r="G140" s="246"/>
      <c r="H140" s="86"/>
      <c r="I140" s="86"/>
      <c r="J140" s="4"/>
      <c r="K140" s="4"/>
      <c r="L140" s="59" t="str">
        <f>IF(C140="yes",2,IF(C140="no",1,"0"))</f>
        <v>0</v>
      </c>
      <c r="M140" s="72"/>
    </row>
    <row r="141" spans="1:15" x14ac:dyDescent="0.25">
      <c r="A141" s="72"/>
      <c r="B141" s="5"/>
      <c r="C141" s="4"/>
      <c r="D141" s="4"/>
      <c r="E141" s="4"/>
      <c r="F141" s="4"/>
      <c r="G141" s="4"/>
      <c r="H141" s="4"/>
      <c r="I141" s="4"/>
      <c r="J141" s="4"/>
      <c r="K141" s="4"/>
      <c r="M141" s="72"/>
    </row>
    <row r="142" spans="1:15" x14ac:dyDescent="0.25">
      <c r="A142" s="72"/>
      <c r="B142" s="5" t="s">
        <v>305</v>
      </c>
      <c r="C142" s="5" t="s">
        <v>314</v>
      </c>
      <c r="D142" s="5"/>
      <c r="E142" s="5"/>
      <c r="F142" s="5"/>
      <c r="G142" s="5"/>
      <c r="H142" s="5"/>
      <c r="I142" s="5"/>
      <c r="J142" s="4"/>
      <c r="K142" s="4"/>
      <c r="M142" s="72"/>
      <c r="N142" s="96"/>
      <c r="O142" s="96"/>
    </row>
    <row r="143" spans="1:15" x14ac:dyDescent="0.25">
      <c r="A143" s="72"/>
      <c r="B143" s="5"/>
      <c r="C143" s="247"/>
      <c r="D143" s="248"/>
      <c r="E143" s="248"/>
      <c r="F143" s="248"/>
      <c r="G143" s="249"/>
      <c r="H143" s="4"/>
      <c r="I143" s="4"/>
      <c r="J143" s="4"/>
      <c r="K143" s="4"/>
      <c r="L143" s="1">
        <f>IF(C143="yes",2,IF(C143="no",1,IF(L137=0,0,0)))</f>
        <v>0</v>
      </c>
      <c r="M143" s="72"/>
    </row>
    <row r="144" spans="1:15" ht="15" customHeight="1" x14ac:dyDescent="0.25">
      <c r="A144" s="72"/>
      <c r="B144" s="5"/>
      <c r="C144" s="4"/>
      <c r="D144" s="4"/>
      <c r="E144" s="4"/>
      <c r="F144" s="4"/>
      <c r="G144" s="4"/>
      <c r="H144" s="4"/>
      <c r="I144" s="4"/>
      <c r="J144" s="4"/>
      <c r="K144" s="4"/>
      <c r="L144" s="3">
        <f>IF(C137="",20,((L137*L140)*L143))</f>
        <v>20</v>
      </c>
      <c r="M144" s="72"/>
      <c r="O144" s="96"/>
    </row>
    <row r="145" spans="1:15" ht="18.75" customHeight="1" x14ac:dyDescent="0.25">
      <c r="A145" s="72"/>
      <c r="B145" s="5" t="s">
        <v>21</v>
      </c>
      <c r="C145" s="5" t="s">
        <v>560</v>
      </c>
      <c r="D145" s="4"/>
      <c r="E145" s="4"/>
      <c r="F145" s="4"/>
      <c r="G145" s="4"/>
      <c r="H145" s="4"/>
      <c r="I145" s="4"/>
      <c r="J145" s="4"/>
      <c r="K145" s="4"/>
      <c r="M145" s="72"/>
      <c r="N145" s="255"/>
      <c r="O145" s="255"/>
    </row>
    <row r="146" spans="1:15" ht="43.5" customHeight="1" x14ac:dyDescent="0.25">
      <c r="A146" s="72"/>
      <c r="B146" s="5"/>
      <c r="C146" s="257"/>
      <c r="D146" s="257"/>
      <c r="E146" s="257"/>
      <c r="F146" s="257"/>
      <c r="G146" s="257"/>
      <c r="H146" s="4"/>
      <c r="I146" s="4"/>
      <c r="J146" s="4"/>
      <c r="K146" s="4"/>
      <c r="L146" s="19">
        <f>IF(C146="",0,1)</f>
        <v>0</v>
      </c>
      <c r="M146" s="72"/>
      <c r="N146" s="255"/>
      <c r="O146" s="255"/>
    </row>
    <row r="147" spans="1:15" x14ac:dyDescent="0.25">
      <c r="A147" s="72"/>
      <c r="B147" s="4"/>
      <c r="C147" s="4"/>
      <c r="D147" s="4"/>
      <c r="E147" s="4"/>
      <c r="F147" s="4"/>
      <c r="G147" s="4"/>
      <c r="H147" s="4"/>
      <c r="I147" s="4"/>
      <c r="J147" s="4"/>
      <c r="K147" s="4"/>
      <c r="M147" s="72"/>
    </row>
    <row r="148" spans="1:15" x14ac:dyDescent="0.25">
      <c r="A148" s="72"/>
      <c r="B148" s="72"/>
      <c r="C148" s="72"/>
      <c r="D148" s="72"/>
      <c r="E148" s="72"/>
      <c r="F148" s="72"/>
      <c r="G148" s="72"/>
      <c r="H148" s="72"/>
      <c r="I148" s="72"/>
      <c r="J148" s="72"/>
      <c r="K148" s="72"/>
      <c r="M148" s="72"/>
      <c r="N148" s="94"/>
    </row>
    <row r="149" spans="1:15" ht="18.600000000000001" customHeight="1" x14ac:dyDescent="0.3">
      <c r="A149" s="72"/>
      <c r="B149" s="6" t="s">
        <v>19</v>
      </c>
      <c r="C149" s="4"/>
      <c r="D149" s="4"/>
      <c r="E149" s="4"/>
      <c r="F149" s="4"/>
      <c r="G149" s="4"/>
      <c r="H149" s="4"/>
      <c r="I149" s="4"/>
      <c r="J149" s="4"/>
      <c r="K149" s="4"/>
      <c r="L149" s="3"/>
      <c r="M149" s="72"/>
      <c r="N149" s="6"/>
    </row>
    <row r="150" spans="1:15" ht="133.5" customHeight="1" x14ac:dyDescent="0.25">
      <c r="A150" s="72"/>
      <c r="B150" s="215" t="s">
        <v>341</v>
      </c>
      <c r="C150" s="215"/>
      <c r="D150" s="215"/>
      <c r="E150" s="215"/>
      <c r="F150" s="215"/>
      <c r="G150" s="215"/>
      <c r="H150" s="215"/>
      <c r="I150" s="215"/>
      <c r="J150" s="4"/>
      <c r="K150" s="4"/>
      <c r="M150" s="72"/>
      <c r="N150" s="251"/>
      <c r="O150" s="251"/>
    </row>
    <row r="151" spans="1:15" x14ac:dyDescent="0.25">
      <c r="A151" s="72"/>
      <c r="B151" s="7"/>
      <c r="C151" s="234" t="s">
        <v>296</v>
      </c>
      <c r="D151" s="234"/>
      <c r="E151" s="235" t="s">
        <v>337</v>
      </c>
      <c r="F151" s="235"/>
      <c r="G151" s="125" t="s">
        <v>348</v>
      </c>
      <c r="H151" s="4"/>
      <c r="I151" s="4"/>
      <c r="J151" s="4"/>
      <c r="K151" s="4"/>
      <c r="M151" s="72"/>
      <c r="N151" s="96"/>
      <c r="O151" s="96"/>
    </row>
    <row r="152" spans="1:15" x14ac:dyDescent="0.25">
      <c r="A152" s="72"/>
      <c r="B152" s="4"/>
      <c r="C152" s="4"/>
      <c r="D152" s="4"/>
      <c r="E152" s="4"/>
      <c r="F152" s="4"/>
      <c r="G152" s="4"/>
      <c r="H152" s="4"/>
      <c r="I152" s="4"/>
      <c r="J152" s="4"/>
      <c r="K152" s="4"/>
      <c r="M152" s="72"/>
      <c r="N152" s="251"/>
      <c r="O152" s="251"/>
    </row>
    <row r="153" spans="1:15" x14ac:dyDescent="0.25">
      <c r="A153" s="72"/>
      <c r="B153" s="5" t="s">
        <v>303</v>
      </c>
      <c r="C153" s="5" t="s">
        <v>312</v>
      </c>
      <c r="D153" s="5"/>
      <c r="E153" s="5"/>
      <c r="F153" s="5"/>
      <c r="G153" s="5"/>
      <c r="H153" s="5"/>
      <c r="I153" s="5"/>
      <c r="J153" s="4"/>
      <c r="K153" s="4"/>
      <c r="M153" s="72"/>
    </row>
    <row r="154" spans="1:15" x14ac:dyDescent="0.25">
      <c r="A154" s="72"/>
      <c r="B154" s="5"/>
      <c r="C154" s="247"/>
      <c r="D154" s="248"/>
      <c r="E154" s="248"/>
      <c r="F154" s="248"/>
      <c r="G154" s="249"/>
      <c r="H154" s="4"/>
      <c r="I154" s="4"/>
      <c r="J154" s="4"/>
      <c r="K154" s="4"/>
      <c r="L154" s="1">
        <f>IF(C154="significantly decrease energy use",2, IF(C154="slightly decrease energy use",1, IF(C154="not applicable/no impact",0, IF(C154="slightly increase energy use", -1, IF(C154="significantly increase energy use", -2, IF(C154="",20, ""))))))</f>
        <v>20</v>
      </c>
      <c r="M154" s="72"/>
    </row>
    <row r="155" spans="1:15" x14ac:dyDescent="0.25">
      <c r="A155" s="72"/>
      <c r="B155" s="5"/>
      <c r="C155" s="4"/>
      <c r="D155" s="4"/>
      <c r="E155" s="4"/>
      <c r="F155" s="4"/>
      <c r="G155" s="4"/>
      <c r="H155" s="4"/>
      <c r="I155" s="4"/>
      <c r="J155" s="4"/>
      <c r="K155" s="4"/>
      <c r="M155" s="72"/>
    </row>
    <row r="156" spans="1:15" x14ac:dyDescent="0.25">
      <c r="A156" s="72"/>
      <c r="B156" s="5" t="s">
        <v>304</v>
      </c>
      <c r="C156" s="5" t="s">
        <v>307</v>
      </c>
      <c r="D156" s="4"/>
      <c r="E156" s="4"/>
      <c r="F156" s="4"/>
      <c r="G156" s="4"/>
      <c r="H156" s="4"/>
      <c r="I156" s="4"/>
      <c r="J156" s="4"/>
      <c r="K156" s="4"/>
      <c r="M156" s="72"/>
      <c r="N156" s="94"/>
      <c r="O156" s="94"/>
    </row>
    <row r="157" spans="1:15" x14ac:dyDescent="0.25">
      <c r="A157" s="72"/>
      <c r="B157" s="124"/>
      <c r="C157" s="244"/>
      <c r="D157" s="245"/>
      <c r="E157" s="245"/>
      <c r="F157" s="245"/>
      <c r="G157" s="246"/>
      <c r="H157" s="86"/>
      <c r="I157" s="86"/>
      <c r="J157" s="4"/>
      <c r="K157" s="4"/>
      <c r="L157" s="59" t="str">
        <f>IF(C157="yes",2,IF(C157="no",1,"0"))</f>
        <v>0</v>
      </c>
      <c r="M157" s="72"/>
      <c r="N157" s="96"/>
    </row>
    <row r="158" spans="1:15" x14ac:dyDescent="0.25">
      <c r="A158" s="72"/>
      <c r="B158" s="5"/>
      <c r="C158" s="4"/>
      <c r="D158" s="4"/>
      <c r="E158" s="4"/>
      <c r="F158" s="4"/>
      <c r="G158" s="4"/>
      <c r="H158" s="4"/>
      <c r="I158" s="4"/>
      <c r="J158" s="4"/>
      <c r="K158" s="4"/>
      <c r="M158" s="72"/>
      <c r="N158" s="96"/>
    </row>
    <row r="159" spans="1:15" x14ac:dyDescent="0.25">
      <c r="A159" s="72"/>
      <c r="B159" s="5" t="s">
        <v>305</v>
      </c>
      <c r="C159" s="5" t="s">
        <v>311</v>
      </c>
      <c r="D159" s="5"/>
      <c r="E159" s="5"/>
      <c r="F159" s="5"/>
      <c r="G159" s="5"/>
      <c r="H159" s="5"/>
      <c r="I159" s="5"/>
      <c r="J159" s="4"/>
      <c r="K159" s="4"/>
      <c r="M159" s="72"/>
      <c r="N159" s="96"/>
    </row>
    <row r="160" spans="1:15" x14ac:dyDescent="0.25">
      <c r="A160" s="72"/>
      <c r="B160" s="5"/>
      <c r="C160" s="247"/>
      <c r="D160" s="248"/>
      <c r="E160" s="248"/>
      <c r="F160" s="248"/>
      <c r="G160" s="249"/>
      <c r="H160" s="4"/>
      <c r="I160" s="4"/>
      <c r="J160" s="4"/>
      <c r="K160" s="4"/>
      <c r="L160" s="59" t="str">
        <f>IF(C160="yes",2,IF(C160="no",1,"0"))</f>
        <v>0</v>
      </c>
      <c r="M160" s="72"/>
      <c r="N160" s="96"/>
    </row>
    <row r="161" spans="1:15" ht="15" customHeight="1" x14ac:dyDescent="0.25">
      <c r="A161" s="72"/>
      <c r="B161" s="5"/>
      <c r="C161" s="4"/>
      <c r="D161" s="4"/>
      <c r="E161" s="4"/>
      <c r="F161" s="4"/>
      <c r="G161" s="4"/>
      <c r="H161" s="4"/>
      <c r="I161" s="4"/>
      <c r="J161" s="4"/>
      <c r="K161" s="4"/>
      <c r="L161" s="3">
        <f>IF(C154="",20,((L154*L157)*L160))</f>
        <v>20</v>
      </c>
      <c r="M161" s="72"/>
      <c r="N161" s="96"/>
      <c r="O161" s="96"/>
    </row>
    <row r="162" spans="1:15" x14ac:dyDescent="0.25">
      <c r="A162" s="72"/>
      <c r="B162" s="5" t="s">
        <v>21</v>
      </c>
      <c r="C162" s="5" t="s">
        <v>560</v>
      </c>
      <c r="D162" s="4"/>
      <c r="E162" s="4"/>
      <c r="F162" s="4"/>
      <c r="G162" s="4"/>
      <c r="H162" s="4"/>
      <c r="I162" s="4"/>
      <c r="J162" s="4"/>
      <c r="K162" s="4"/>
      <c r="M162" s="72"/>
    </row>
    <row r="163" spans="1:15" ht="44.1" customHeight="1" x14ac:dyDescent="0.25">
      <c r="A163" s="72"/>
      <c r="B163" s="5"/>
      <c r="C163" s="257"/>
      <c r="D163" s="257"/>
      <c r="E163" s="257"/>
      <c r="F163" s="257"/>
      <c r="G163" s="257"/>
      <c r="H163" s="4"/>
      <c r="I163" s="4"/>
      <c r="J163" s="4"/>
      <c r="K163" s="4"/>
      <c r="L163" s="19">
        <f>IF(C163="",0,1)</f>
        <v>0</v>
      </c>
      <c r="M163" s="72"/>
      <c r="N163" s="255"/>
      <c r="O163" s="255"/>
    </row>
    <row r="164" spans="1:15" x14ac:dyDescent="0.25">
      <c r="A164" s="72"/>
      <c r="B164" s="4"/>
      <c r="C164" s="4"/>
      <c r="D164" s="4"/>
      <c r="E164" s="4"/>
      <c r="F164" s="4"/>
      <c r="G164" s="4"/>
      <c r="H164" s="4"/>
      <c r="I164" s="4"/>
      <c r="J164" s="4"/>
      <c r="K164" s="4"/>
      <c r="M164" s="72"/>
    </row>
    <row r="165" spans="1:15" x14ac:dyDescent="0.25">
      <c r="A165" s="72"/>
      <c r="B165" s="72"/>
      <c r="C165" s="72"/>
      <c r="D165" s="72"/>
      <c r="E165" s="72"/>
      <c r="F165" s="72"/>
      <c r="G165" s="72"/>
      <c r="H165" s="72"/>
      <c r="I165" s="72"/>
      <c r="J165" s="72"/>
      <c r="K165" s="72"/>
      <c r="L165" s="72"/>
      <c r="M165" s="72"/>
      <c r="N165" s="94"/>
    </row>
    <row r="166" spans="1:15" ht="18.75" customHeight="1" x14ac:dyDescent="0.3">
      <c r="A166" s="72"/>
      <c r="B166" s="6" t="s">
        <v>23</v>
      </c>
      <c r="C166" s="4"/>
      <c r="D166" s="4"/>
      <c r="E166" s="4"/>
      <c r="F166" s="4"/>
      <c r="G166" s="4"/>
      <c r="H166" s="4"/>
      <c r="I166" s="4"/>
      <c r="J166" s="4"/>
      <c r="K166" s="4"/>
      <c r="L166" s="3"/>
      <c r="M166" s="72"/>
      <c r="N166" s="6"/>
    </row>
    <row r="167" spans="1:15" ht="171" customHeight="1" x14ac:dyDescent="0.25">
      <c r="A167" s="72"/>
      <c r="B167" s="215" t="s">
        <v>564</v>
      </c>
      <c r="C167" s="215"/>
      <c r="D167" s="215"/>
      <c r="E167" s="215"/>
      <c r="F167" s="215"/>
      <c r="G167" s="215"/>
      <c r="H167" s="215"/>
      <c r="I167" s="215"/>
      <c r="J167" s="4"/>
      <c r="K167" s="4"/>
      <c r="M167" s="72"/>
      <c r="N167" s="251"/>
      <c r="O167" s="251"/>
    </row>
    <row r="168" spans="1:15" x14ac:dyDescent="0.25">
      <c r="A168" s="72"/>
      <c r="B168" s="7"/>
      <c r="C168" s="239" t="s">
        <v>296</v>
      </c>
      <c r="D168" s="239"/>
      <c r="E168" s="235" t="s">
        <v>337</v>
      </c>
      <c r="F168" s="235"/>
      <c r="G168" s="125" t="s">
        <v>348</v>
      </c>
      <c r="H168" s="4"/>
      <c r="I168" s="4"/>
      <c r="J168" s="4"/>
      <c r="K168" s="4"/>
      <c r="M168" s="72"/>
      <c r="N168" s="96"/>
      <c r="O168" s="96"/>
    </row>
    <row r="169" spans="1:15" x14ac:dyDescent="0.25">
      <c r="A169" s="72"/>
      <c r="B169" s="4"/>
      <c r="C169" s="4"/>
      <c r="D169" s="4"/>
      <c r="E169" s="4"/>
      <c r="F169" s="4"/>
      <c r="G169" s="4"/>
      <c r="H169" s="4"/>
      <c r="I169" s="4"/>
      <c r="J169" s="4"/>
      <c r="K169" s="4"/>
      <c r="M169" s="72"/>
      <c r="N169" s="101"/>
    </row>
    <row r="170" spans="1:15" x14ac:dyDescent="0.25">
      <c r="A170" s="72"/>
      <c r="B170" s="5" t="s">
        <v>303</v>
      </c>
      <c r="C170" s="5" t="s">
        <v>309</v>
      </c>
      <c r="D170" s="5"/>
      <c r="E170" s="5"/>
      <c r="F170" s="5"/>
      <c r="G170" s="5"/>
      <c r="H170" s="5"/>
      <c r="I170" s="5"/>
      <c r="J170" s="4"/>
      <c r="K170" s="4"/>
      <c r="M170" s="72"/>
      <c r="N170" s="94"/>
      <c r="O170" s="94"/>
    </row>
    <row r="171" spans="1:15" x14ac:dyDescent="0.25">
      <c r="A171" s="72"/>
      <c r="B171" s="5"/>
      <c r="C171" s="247"/>
      <c r="D171" s="248"/>
      <c r="E171" s="248"/>
      <c r="F171" s="248"/>
      <c r="G171" s="249"/>
      <c r="H171" s="4"/>
      <c r="I171" s="4"/>
      <c r="J171" s="4"/>
      <c r="K171" s="4"/>
      <c r="L171" s="213">
        <f>IF(C171="Sustainable resources used throughout",2, IF(C171="Sustainable resources used in most places",1, IF(C171="Not Applicable",0, IF(C171="Sustainable resources not used much", -1, IF(C171="Sustainable resources not used/considered at all", -2, IF(C171="",20,""))))))</f>
        <v>20</v>
      </c>
      <c r="M171" s="72"/>
    </row>
    <row r="172" spans="1:15" ht="15" customHeight="1" x14ac:dyDescent="0.25">
      <c r="A172" s="72"/>
      <c r="B172" s="5"/>
      <c r="C172" s="4"/>
      <c r="D172" s="4"/>
      <c r="E172" s="4"/>
      <c r="F172" s="4"/>
      <c r="G172" s="4"/>
      <c r="H172" s="4"/>
      <c r="I172" s="4"/>
      <c r="J172" s="4"/>
      <c r="K172" s="4"/>
      <c r="M172" s="72"/>
      <c r="O172" s="251"/>
    </row>
    <row r="173" spans="1:15" x14ac:dyDescent="0.25">
      <c r="A173" s="72"/>
      <c r="B173" s="5" t="s">
        <v>304</v>
      </c>
      <c r="C173" s="5" t="s">
        <v>307</v>
      </c>
      <c r="D173" s="4"/>
      <c r="E173" s="4"/>
      <c r="F173" s="4"/>
      <c r="G173" s="4"/>
      <c r="H173" s="4"/>
      <c r="I173" s="4"/>
      <c r="J173" s="4"/>
      <c r="K173" s="4"/>
      <c r="M173" s="72"/>
      <c r="O173" s="251"/>
    </row>
    <row r="174" spans="1:15" x14ac:dyDescent="0.25">
      <c r="A174" s="72"/>
      <c r="B174" s="124"/>
      <c r="C174" s="244"/>
      <c r="D174" s="245"/>
      <c r="E174" s="245"/>
      <c r="F174" s="245"/>
      <c r="G174" s="246"/>
      <c r="H174" s="86"/>
      <c r="I174" s="86"/>
      <c r="J174" s="4"/>
      <c r="K174" s="4"/>
      <c r="L174" s="1" t="str">
        <f>IF(C174="yes",2,IF(C174="no",1,IF(L171=0,0,"")))</f>
        <v/>
      </c>
      <c r="M174" s="72"/>
    </row>
    <row r="175" spans="1:15" ht="15" customHeight="1" x14ac:dyDescent="0.25">
      <c r="A175" s="72"/>
      <c r="B175" s="5"/>
      <c r="C175" s="4"/>
      <c r="D175" s="4"/>
      <c r="E175" s="4"/>
      <c r="F175" s="4"/>
      <c r="G175" s="4"/>
      <c r="H175" s="4"/>
      <c r="I175" s="4"/>
      <c r="J175" s="4"/>
      <c r="K175" s="4"/>
      <c r="M175" s="72"/>
      <c r="N175" s="251"/>
    </row>
    <row r="176" spans="1:15" ht="14.25" customHeight="1" x14ac:dyDescent="0.25">
      <c r="A176" s="72"/>
      <c r="B176" s="5" t="s">
        <v>305</v>
      </c>
      <c r="C176" s="5" t="s">
        <v>310</v>
      </c>
      <c r="D176" s="5"/>
      <c r="E176" s="5"/>
      <c r="F176" s="5"/>
      <c r="G176" s="5"/>
      <c r="H176" s="5"/>
      <c r="I176" s="5"/>
      <c r="J176" s="4"/>
      <c r="K176" s="4"/>
      <c r="M176" s="72"/>
      <c r="N176" s="251"/>
    </row>
    <row r="177" spans="1:24" ht="15" customHeight="1" x14ac:dyDescent="0.25">
      <c r="A177" s="72"/>
      <c r="B177" s="5"/>
      <c r="C177" s="247"/>
      <c r="D177" s="248"/>
      <c r="E177" s="248"/>
      <c r="F177" s="248"/>
      <c r="G177" s="249"/>
      <c r="H177" s="4"/>
      <c r="I177" s="4"/>
      <c r="J177" s="4"/>
      <c r="K177" s="4"/>
      <c r="L177" s="1" t="str">
        <f>IF(C177="yes",2,IF(C177="no",1,IF(L171=0,0,"")))</f>
        <v/>
      </c>
      <c r="M177" s="72"/>
    </row>
    <row r="178" spans="1:24" ht="15" customHeight="1" x14ac:dyDescent="0.25">
      <c r="A178" s="72"/>
      <c r="B178" s="5"/>
      <c r="C178" s="4"/>
      <c r="D178" s="4"/>
      <c r="E178" s="4"/>
      <c r="F178" s="4"/>
      <c r="G178" s="4"/>
      <c r="H178" s="4"/>
      <c r="I178" s="4"/>
      <c r="J178" s="4"/>
      <c r="K178" s="4"/>
      <c r="L178" s="3">
        <f>IF(C171="",20,((L171*L174)*L177))</f>
        <v>20</v>
      </c>
      <c r="M178" s="72"/>
      <c r="N178" s="254"/>
      <c r="O178" s="254"/>
    </row>
    <row r="179" spans="1:24" ht="15" customHeight="1" x14ac:dyDescent="0.25">
      <c r="A179" s="72"/>
      <c r="B179" s="5" t="s">
        <v>21</v>
      </c>
      <c r="C179" s="5" t="s">
        <v>560</v>
      </c>
      <c r="D179" s="4"/>
      <c r="E179" s="4"/>
      <c r="F179" s="4"/>
      <c r="G179" s="4"/>
      <c r="H179" s="4"/>
      <c r="I179" s="4"/>
      <c r="J179" s="4"/>
      <c r="K179" s="4"/>
      <c r="M179" s="72"/>
      <c r="N179" s="103"/>
      <c r="O179" s="103"/>
    </row>
    <row r="180" spans="1:24" ht="43.5" customHeight="1" x14ac:dyDescent="0.25">
      <c r="A180" s="72"/>
      <c r="B180" s="5"/>
      <c r="C180" s="257"/>
      <c r="D180" s="257"/>
      <c r="E180" s="257"/>
      <c r="F180" s="257"/>
      <c r="G180" s="257"/>
      <c r="H180" s="4"/>
      <c r="I180" s="4"/>
      <c r="J180" s="4"/>
      <c r="K180" s="4"/>
      <c r="L180" s="19">
        <f>IF(C180="",0,1)</f>
        <v>0</v>
      </c>
      <c r="M180" s="72"/>
      <c r="N180" s="252"/>
      <c r="O180" s="252"/>
    </row>
    <row r="181" spans="1:24" ht="13.5" customHeight="1" x14ac:dyDescent="0.25">
      <c r="A181" s="72"/>
      <c r="B181" s="4"/>
      <c r="C181" s="4"/>
      <c r="D181" s="4"/>
      <c r="E181" s="4"/>
      <c r="F181" s="4"/>
      <c r="G181" s="4"/>
      <c r="H181" s="4"/>
      <c r="I181" s="4"/>
      <c r="J181" s="4"/>
      <c r="K181" s="4"/>
      <c r="M181" s="72"/>
      <c r="N181" s="253"/>
      <c r="O181" s="253"/>
    </row>
    <row r="182" spans="1:24" x14ac:dyDescent="0.25">
      <c r="A182" s="72"/>
      <c r="B182" s="72"/>
      <c r="C182" s="72"/>
      <c r="D182" s="72"/>
      <c r="E182" s="72"/>
      <c r="F182" s="72"/>
      <c r="G182" s="72"/>
      <c r="H182" s="72"/>
      <c r="I182" s="72"/>
      <c r="J182" s="72"/>
      <c r="K182" s="72"/>
      <c r="M182" s="72"/>
      <c r="N182" s="94"/>
    </row>
    <row r="183" spans="1:24" ht="18.75" customHeight="1" x14ac:dyDescent="0.3">
      <c r="A183" s="72"/>
      <c r="B183" s="6" t="s">
        <v>25</v>
      </c>
      <c r="C183" s="4"/>
      <c r="D183" s="4"/>
      <c r="E183" s="4"/>
      <c r="F183" s="4"/>
      <c r="G183" s="4"/>
      <c r="H183" s="4"/>
      <c r="I183" s="4"/>
      <c r="J183" s="4"/>
      <c r="K183" s="4"/>
      <c r="L183" s="3"/>
      <c r="M183" s="72"/>
      <c r="N183" s="6"/>
    </row>
    <row r="184" spans="1:24" ht="137.25" customHeight="1" x14ac:dyDescent="0.25">
      <c r="A184" s="72"/>
      <c r="B184" s="215" t="s">
        <v>375</v>
      </c>
      <c r="C184" s="215"/>
      <c r="D184" s="215"/>
      <c r="E184" s="215"/>
      <c r="F184" s="215"/>
      <c r="G184" s="215"/>
      <c r="H184" s="215"/>
      <c r="I184" s="215"/>
      <c r="J184" s="4"/>
      <c r="K184" s="4"/>
      <c r="M184" s="72"/>
      <c r="N184" s="251"/>
      <c r="O184" s="251"/>
      <c r="R184" s="5"/>
      <c r="V184" s="104"/>
      <c r="W184" s="44"/>
    </row>
    <row r="185" spans="1:24" x14ac:dyDescent="0.25">
      <c r="A185" s="72"/>
      <c r="B185" s="7"/>
      <c r="C185" s="234" t="s">
        <v>327</v>
      </c>
      <c r="D185" s="234"/>
      <c r="E185" s="235" t="s">
        <v>337</v>
      </c>
      <c r="F185" s="235"/>
      <c r="G185" s="125" t="s">
        <v>348</v>
      </c>
      <c r="H185" s="4"/>
      <c r="I185" s="4"/>
      <c r="J185" s="4"/>
      <c r="K185" s="4"/>
      <c r="M185" s="72"/>
      <c r="N185" s="96"/>
      <c r="O185" s="96"/>
      <c r="R185" s="241"/>
      <c r="S185" s="241"/>
      <c r="T185" s="241"/>
      <c r="U185" s="105"/>
      <c r="V185" s="28"/>
      <c r="W185" s="29"/>
      <c r="X185" s="29"/>
    </row>
    <row r="186" spans="1:24" ht="10.5" customHeight="1" x14ac:dyDescent="0.25">
      <c r="A186" s="72"/>
      <c r="B186" s="4"/>
      <c r="C186" s="4"/>
      <c r="D186" s="4"/>
      <c r="E186" s="4"/>
      <c r="F186" s="4"/>
      <c r="G186" s="4"/>
      <c r="H186" s="4"/>
      <c r="I186" s="4"/>
      <c r="J186" s="4"/>
      <c r="K186" s="4"/>
      <c r="M186" s="72"/>
      <c r="N186" s="254"/>
      <c r="O186" s="254"/>
      <c r="R186" s="260"/>
      <c r="S186" s="260"/>
      <c r="T186" s="260"/>
      <c r="U186" s="106"/>
    </row>
    <row r="187" spans="1:24" x14ac:dyDescent="0.25">
      <c r="A187" s="72"/>
      <c r="B187" s="5" t="s">
        <v>303</v>
      </c>
      <c r="C187" s="5" t="s">
        <v>308</v>
      </c>
      <c r="D187" s="5"/>
      <c r="E187" s="5"/>
      <c r="F187" s="5"/>
      <c r="G187" s="5"/>
      <c r="H187" s="5"/>
      <c r="I187" s="5"/>
      <c r="J187" s="4"/>
      <c r="K187" s="4"/>
      <c r="M187" s="72"/>
      <c r="U187" s="107"/>
      <c r="V187" s="107"/>
    </row>
    <row r="188" spans="1:24" x14ac:dyDescent="0.25">
      <c r="A188" s="72"/>
      <c r="B188" s="5"/>
      <c r="C188" s="247"/>
      <c r="D188" s="248"/>
      <c r="E188" s="248"/>
      <c r="F188" s="248"/>
      <c r="G188" s="249"/>
      <c r="H188" s="4"/>
      <c r="I188" s="4"/>
      <c r="J188" s="4"/>
      <c r="K188" s="4"/>
      <c r="L188" s="1">
        <f>IF(C188="significantly reduce overall quantities of waste",2, IF(C188="slightly reduce overall quantities of waste",1, IF(C188="not applicable/no impact",0, IF(C188="slightly increase overall quantities of waste", -1, IF(C188="significantly increase overall quantities of waste", -2, IF(C188="",20,""))))))</f>
        <v>20</v>
      </c>
      <c r="M188" s="72"/>
      <c r="N188" s="101"/>
    </row>
    <row r="189" spans="1:24" x14ac:dyDescent="0.25">
      <c r="A189" s="72"/>
      <c r="B189" s="5"/>
      <c r="C189" s="4"/>
      <c r="D189" s="4"/>
      <c r="E189" s="4"/>
      <c r="F189" s="4"/>
      <c r="G189" s="4"/>
      <c r="H189" s="4"/>
      <c r="I189" s="4"/>
      <c r="J189" s="4"/>
      <c r="K189" s="4"/>
      <c r="M189" s="72"/>
    </row>
    <row r="190" spans="1:24" x14ac:dyDescent="0.25">
      <c r="A190" s="72"/>
      <c r="B190" s="5" t="s">
        <v>304</v>
      </c>
      <c r="C190" s="5" t="s">
        <v>307</v>
      </c>
      <c r="D190" s="4"/>
      <c r="E190" s="4"/>
      <c r="F190" s="4"/>
      <c r="G190" s="4"/>
      <c r="H190" s="4"/>
      <c r="I190" s="4"/>
      <c r="J190" s="4"/>
      <c r="K190" s="4"/>
      <c r="M190" s="72"/>
      <c r="N190" s="94"/>
      <c r="O190" s="94"/>
    </row>
    <row r="191" spans="1:24" x14ac:dyDescent="0.25">
      <c r="A191" s="72"/>
      <c r="B191" s="124"/>
      <c r="C191" s="244"/>
      <c r="D191" s="245"/>
      <c r="E191" s="245"/>
      <c r="F191" s="245"/>
      <c r="G191" s="246"/>
      <c r="H191" s="86"/>
      <c r="I191" s="86"/>
      <c r="J191" s="4"/>
      <c r="K191" s="4"/>
      <c r="L191" s="1" t="str">
        <f>IF(C191="yes",2,IF(C191="no",1,IF(L188=0,0,"")))</f>
        <v/>
      </c>
      <c r="M191" s="72"/>
    </row>
    <row r="192" spans="1:24" x14ac:dyDescent="0.25">
      <c r="A192" s="72"/>
      <c r="B192" s="5"/>
      <c r="C192" s="4"/>
      <c r="D192" s="4"/>
      <c r="E192" s="4"/>
      <c r="F192" s="4"/>
      <c r="G192" s="4"/>
      <c r="H192" s="4"/>
      <c r="I192" s="4"/>
      <c r="J192" s="4"/>
      <c r="K192" s="4"/>
      <c r="M192" s="72"/>
    </row>
    <row r="193" spans="1:16" x14ac:dyDescent="0.25">
      <c r="A193" s="72"/>
      <c r="B193" s="5" t="s">
        <v>305</v>
      </c>
      <c r="C193" s="5" t="s">
        <v>306</v>
      </c>
      <c r="D193" s="5"/>
      <c r="E193" s="5"/>
      <c r="F193" s="5"/>
      <c r="G193" s="5"/>
      <c r="H193" s="5"/>
      <c r="I193" s="5"/>
      <c r="J193" s="4"/>
      <c r="K193" s="4"/>
      <c r="M193" s="72"/>
    </row>
    <row r="194" spans="1:16" x14ac:dyDescent="0.25">
      <c r="A194" s="72"/>
      <c r="B194" s="5"/>
      <c r="C194" s="247"/>
      <c r="D194" s="248"/>
      <c r="E194" s="248"/>
      <c r="F194" s="248"/>
      <c r="G194" s="249"/>
      <c r="H194" s="4"/>
      <c r="I194" s="4"/>
      <c r="J194" s="4"/>
      <c r="K194" s="4"/>
      <c r="L194" s="1" t="str">
        <f>IF(C194="yes",2,IF(C194="no",1,IF(L188=0,0,"")))</f>
        <v/>
      </c>
      <c r="M194" s="72"/>
    </row>
    <row r="195" spans="1:16" ht="15" customHeight="1" x14ac:dyDescent="0.25">
      <c r="A195" s="72"/>
      <c r="B195" s="5"/>
      <c r="C195" s="4"/>
      <c r="D195" s="4"/>
      <c r="E195" s="4"/>
      <c r="F195" s="4"/>
      <c r="G195" s="4"/>
      <c r="H195" s="4"/>
      <c r="I195" s="4"/>
      <c r="J195" s="4"/>
      <c r="K195" s="4"/>
      <c r="L195" s="3">
        <f>IF(C188="",20,((L188*L191)*L194))</f>
        <v>20</v>
      </c>
      <c r="M195" s="72"/>
    </row>
    <row r="196" spans="1:16" x14ac:dyDescent="0.25">
      <c r="A196" s="72"/>
      <c r="B196" s="5" t="s">
        <v>21</v>
      </c>
      <c r="C196" s="5" t="s">
        <v>560</v>
      </c>
      <c r="D196" s="4"/>
      <c r="E196" s="4"/>
      <c r="F196" s="4"/>
      <c r="G196" s="4"/>
      <c r="H196" s="4"/>
      <c r="I196" s="4"/>
      <c r="J196" s="4"/>
      <c r="K196" s="4"/>
      <c r="M196" s="72"/>
    </row>
    <row r="197" spans="1:16" ht="44.1" customHeight="1" x14ac:dyDescent="0.25">
      <c r="A197" s="72"/>
      <c r="B197" s="5"/>
      <c r="C197" s="257"/>
      <c r="D197" s="257"/>
      <c r="E197" s="257"/>
      <c r="F197" s="257"/>
      <c r="G197" s="257"/>
      <c r="H197" s="4"/>
      <c r="I197" s="4"/>
      <c r="J197" s="4"/>
      <c r="K197" s="4"/>
      <c r="L197" s="1">
        <f>IF(C197="",0,1)</f>
        <v>0</v>
      </c>
      <c r="M197" s="72"/>
      <c r="N197" s="252"/>
      <c r="O197" s="252"/>
    </row>
    <row r="198" spans="1:16" ht="14.25" customHeight="1" x14ac:dyDescent="0.25">
      <c r="A198" s="72"/>
      <c r="B198" s="4"/>
      <c r="C198" s="95"/>
      <c r="D198" s="95"/>
      <c r="E198" s="95"/>
      <c r="F198" s="95"/>
      <c r="G198" s="95"/>
      <c r="H198" s="4"/>
      <c r="I198" s="4"/>
      <c r="J198" s="4"/>
      <c r="K198" s="4"/>
      <c r="M198" s="72"/>
      <c r="N198" s="253"/>
      <c r="O198" s="253"/>
    </row>
    <row r="199" spans="1:16" x14ac:dyDescent="0.25">
      <c r="A199" s="72"/>
      <c r="B199" s="72"/>
      <c r="C199" s="72"/>
      <c r="D199" s="72"/>
      <c r="E199" s="72"/>
      <c r="F199" s="72"/>
      <c r="G199" s="72"/>
      <c r="H199" s="72"/>
      <c r="I199" s="72"/>
      <c r="J199" s="72"/>
      <c r="K199" s="72"/>
      <c r="L199" s="72"/>
      <c r="M199" s="72"/>
      <c r="N199" s="96"/>
      <c r="O199" s="96"/>
    </row>
    <row r="200" spans="1:16" x14ac:dyDescent="0.25">
      <c r="A200" s="4"/>
      <c r="B200" s="4"/>
      <c r="C200" s="4"/>
      <c r="D200" s="4"/>
      <c r="E200" s="4"/>
      <c r="F200" s="4"/>
      <c r="G200" s="4"/>
      <c r="H200" s="4"/>
      <c r="I200" s="4"/>
      <c r="J200" s="4"/>
      <c r="K200" s="4"/>
      <c r="L200" s="4"/>
      <c r="M200" s="4"/>
    </row>
    <row r="201" spans="1:16" ht="21" x14ac:dyDescent="0.35">
      <c r="A201" s="4"/>
      <c r="B201" s="79"/>
      <c r="C201" s="79"/>
      <c r="D201" s="79"/>
      <c r="E201" s="79"/>
      <c r="F201" s="79"/>
      <c r="G201" s="79"/>
      <c r="H201" s="79"/>
      <c r="I201" s="79"/>
      <c r="J201" s="79"/>
      <c r="K201" s="79"/>
      <c r="L201" s="79"/>
      <c r="M201" s="79"/>
      <c r="N201" s="79"/>
      <c r="O201" s="79"/>
      <c r="P201" s="79"/>
    </row>
    <row r="202" spans="1:16" x14ac:dyDescent="0.25">
      <c r="A202" s="4"/>
      <c r="B202" s="4"/>
      <c r="C202" s="4"/>
      <c r="D202" s="4"/>
      <c r="E202" s="4"/>
      <c r="F202" s="4"/>
      <c r="G202" s="4"/>
      <c r="H202" s="4"/>
      <c r="I202" s="4"/>
      <c r="J202" s="4"/>
      <c r="K202" s="4"/>
      <c r="L202" s="4"/>
      <c r="M202" s="4"/>
    </row>
    <row r="203" spans="1:16" x14ac:dyDescent="0.25">
      <c r="A203" s="4"/>
      <c r="B203" s="4"/>
      <c r="C203" s="4"/>
      <c r="D203" s="4"/>
      <c r="E203" s="4"/>
      <c r="F203" s="4"/>
      <c r="G203" s="4"/>
      <c r="H203" s="4"/>
      <c r="I203" s="4"/>
      <c r="J203" s="4"/>
      <c r="K203" s="4"/>
      <c r="L203" s="4"/>
      <c r="M203" s="4"/>
    </row>
    <row r="204" spans="1:16" x14ac:dyDescent="0.25">
      <c r="A204" s="4"/>
      <c r="B204" s="4"/>
      <c r="C204" s="4"/>
      <c r="D204" s="4"/>
      <c r="E204" s="4"/>
      <c r="F204" s="4"/>
      <c r="G204" s="4"/>
      <c r="H204" s="4"/>
      <c r="I204" s="4"/>
      <c r="J204" s="4"/>
      <c r="K204" s="4"/>
      <c r="L204" s="4"/>
      <c r="M204" s="4"/>
    </row>
    <row r="205" spans="1:16" x14ac:dyDescent="0.25">
      <c r="A205" s="4"/>
      <c r="B205" s="4"/>
      <c r="C205" s="4"/>
      <c r="D205" s="4"/>
      <c r="E205" s="4"/>
      <c r="F205" s="4"/>
      <c r="G205" s="4"/>
      <c r="H205" s="4"/>
      <c r="I205" s="4"/>
      <c r="J205" s="4"/>
      <c r="K205" s="4"/>
      <c r="L205" s="4"/>
      <c r="M205" s="4"/>
    </row>
    <row r="206" spans="1:16" x14ac:dyDescent="0.25">
      <c r="A206" s="4"/>
      <c r="B206" s="4"/>
      <c r="C206" s="4"/>
      <c r="D206" s="4"/>
      <c r="E206" s="4"/>
      <c r="F206" s="4"/>
      <c r="G206" s="4"/>
      <c r="H206" s="4"/>
      <c r="I206" s="4"/>
      <c r="J206" s="4"/>
      <c r="K206" s="4"/>
      <c r="L206" s="4"/>
      <c r="M206" s="4"/>
    </row>
    <row r="207" spans="1:16" x14ac:dyDescent="0.25">
      <c r="A207" s="4"/>
      <c r="B207" s="4"/>
      <c r="C207" s="4"/>
      <c r="D207" s="4"/>
      <c r="E207" s="4"/>
      <c r="F207" s="4"/>
      <c r="G207" s="4"/>
      <c r="H207" s="4"/>
      <c r="I207" s="4"/>
      <c r="J207" s="4"/>
      <c r="K207" s="4"/>
      <c r="L207" s="4"/>
      <c r="M207" s="4"/>
    </row>
    <row r="208" spans="1:16" x14ac:dyDescent="0.25">
      <c r="A208" s="4"/>
      <c r="B208" s="4"/>
      <c r="C208" s="4"/>
      <c r="D208" s="4"/>
      <c r="E208" s="4"/>
      <c r="F208" s="4"/>
      <c r="G208" s="4"/>
      <c r="H208" s="4"/>
      <c r="I208" s="4"/>
      <c r="J208" s="4"/>
      <c r="K208" s="4"/>
      <c r="L208" s="4"/>
      <c r="M208" s="4"/>
    </row>
    <row r="209" spans="1:13" x14ac:dyDescent="0.25">
      <c r="A209" s="4"/>
      <c r="B209" s="4"/>
      <c r="C209" s="4"/>
      <c r="D209" s="4"/>
      <c r="E209" s="4"/>
      <c r="F209" s="4"/>
      <c r="G209" s="4"/>
      <c r="H209" s="4"/>
      <c r="I209" s="4"/>
      <c r="J209" s="4"/>
      <c r="K209" s="4"/>
      <c r="L209" s="4"/>
      <c r="M209" s="4"/>
    </row>
    <row r="210" spans="1:13" x14ac:dyDescent="0.25">
      <c r="A210" s="4"/>
      <c r="B210" s="4"/>
      <c r="C210" s="4"/>
      <c r="D210" s="4"/>
      <c r="E210" s="4"/>
      <c r="F210" s="4"/>
      <c r="G210" s="4"/>
      <c r="H210" s="4"/>
      <c r="I210" s="4"/>
      <c r="J210" s="4"/>
      <c r="K210" s="4"/>
      <c r="L210" s="4"/>
      <c r="M210" s="4"/>
    </row>
    <row r="211" spans="1:13" x14ac:dyDescent="0.25">
      <c r="A211" s="4"/>
      <c r="B211" s="4"/>
      <c r="C211" s="4"/>
      <c r="D211" s="4"/>
      <c r="E211" s="4"/>
      <c r="F211" s="4"/>
      <c r="G211" s="4"/>
      <c r="H211" s="4"/>
      <c r="I211" s="4"/>
      <c r="J211" s="4"/>
      <c r="K211" s="4"/>
      <c r="L211" s="4"/>
      <c r="M211" s="4"/>
    </row>
    <row r="212" spans="1:13" x14ac:dyDescent="0.25">
      <c r="A212" s="4"/>
      <c r="B212" s="4"/>
      <c r="C212" s="4"/>
      <c r="D212" s="4"/>
      <c r="E212" s="4"/>
      <c r="F212" s="4"/>
      <c r="G212" s="4"/>
      <c r="H212" s="4"/>
      <c r="I212" s="4"/>
      <c r="J212" s="4"/>
      <c r="K212" s="4"/>
      <c r="L212" s="4"/>
      <c r="M212" s="4"/>
    </row>
    <row r="213" spans="1:13" x14ac:dyDescent="0.25">
      <c r="A213" s="4"/>
      <c r="B213" s="4"/>
      <c r="C213" s="4"/>
      <c r="D213" s="4"/>
      <c r="E213" s="4"/>
      <c r="F213" s="4"/>
      <c r="G213" s="4"/>
      <c r="H213" s="4"/>
      <c r="I213" s="4"/>
      <c r="J213" s="4"/>
      <c r="K213" s="4"/>
      <c r="L213" s="4"/>
      <c r="M213" s="4"/>
    </row>
    <row r="214" spans="1:13" x14ac:dyDescent="0.25">
      <c r="A214" s="4"/>
      <c r="B214" s="4"/>
      <c r="C214" s="4"/>
      <c r="D214" s="4"/>
      <c r="E214" s="4"/>
      <c r="F214" s="4"/>
      <c r="G214" s="4"/>
      <c r="H214" s="4"/>
      <c r="I214" s="4"/>
      <c r="J214" s="4"/>
      <c r="K214" s="4"/>
      <c r="L214" s="4"/>
      <c r="M214" s="4"/>
    </row>
    <row r="215" spans="1:13" x14ac:dyDescent="0.25">
      <c r="A215" s="4"/>
      <c r="B215" s="4"/>
      <c r="C215" s="4"/>
      <c r="D215" s="4"/>
      <c r="E215" s="4"/>
      <c r="F215" s="4"/>
      <c r="G215" s="4"/>
      <c r="H215" s="4"/>
      <c r="I215" s="4"/>
      <c r="J215" s="4"/>
      <c r="K215" s="4"/>
      <c r="L215" s="4"/>
      <c r="M215" s="4"/>
    </row>
    <row r="216" spans="1:13" x14ac:dyDescent="0.25">
      <c r="A216" s="4"/>
      <c r="B216" s="4"/>
      <c r="C216" s="4"/>
      <c r="D216" s="4"/>
      <c r="E216" s="4"/>
      <c r="F216" s="4"/>
      <c r="G216" s="4"/>
      <c r="H216" s="4"/>
      <c r="I216" s="4"/>
      <c r="J216" s="4"/>
      <c r="K216" s="4"/>
      <c r="L216" s="4"/>
      <c r="M216" s="4"/>
    </row>
    <row r="217" spans="1:13" x14ac:dyDescent="0.25">
      <c r="A217" s="4"/>
      <c r="B217" s="4"/>
      <c r="C217" s="4"/>
      <c r="D217" s="4"/>
      <c r="E217" s="4"/>
      <c r="F217" s="4"/>
      <c r="G217" s="4"/>
      <c r="H217" s="4"/>
      <c r="I217" s="4"/>
      <c r="J217" s="4"/>
      <c r="K217" s="4"/>
      <c r="L217" s="4"/>
      <c r="M217" s="4"/>
    </row>
    <row r="218" spans="1:13" x14ac:dyDescent="0.25">
      <c r="A218" s="4"/>
      <c r="B218" s="4"/>
      <c r="C218" s="4"/>
      <c r="D218" s="4"/>
      <c r="E218" s="4"/>
      <c r="F218" s="4"/>
      <c r="G218" s="4"/>
      <c r="H218" s="4"/>
      <c r="I218" s="4"/>
      <c r="J218" s="4"/>
      <c r="K218" s="4"/>
      <c r="L218" s="4"/>
      <c r="M218" s="4"/>
    </row>
    <row r="219" spans="1:13" x14ac:dyDescent="0.25">
      <c r="A219" s="4"/>
      <c r="B219" s="4"/>
      <c r="C219" s="4"/>
      <c r="D219" s="4"/>
      <c r="E219" s="4"/>
      <c r="F219" s="4"/>
      <c r="G219" s="4"/>
      <c r="H219" s="4"/>
      <c r="I219" s="4"/>
      <c r="J219" s="4"/>
      <c r="K219" s="4"/>
      <c r="L219" s="4"/>
      <c r="M219" s="4"/>
    </row>
  </sheetData>
  <mergeCells count="119">
    <mergeCell ref="B31:G31"/>
    <mergeCell ref="H30:K31"/>
    <mergeCell ref="C197:G197"/>
    <mergeCell ref="C188:G188"/>
    <mergeCell ref="C191:G191"/>
    <mergeCell ref="C120:G120"/>
    <mergeCell ref="C61:G61"/>
    <mergeCell ref="C72:G72"/>
    <mergeCell ref="C69:G69"/>
    <mergeCell ref="C171:G171"/>
    <mergeCell ref="C174:G174"/>
    <mergeCell ref="C140:G140"/>
    <mergeCell ref="C123:G123"/>
    <mergeCell ref="C143:G143"/>
    <mergeCell ref="C146:G146"/>
    <mergeCell ref="B150:I150"/>
    <mergeCell ref="C160:G160"/>
    <mergeCell ref="C157:G157"/>
    <mergeCell ref="C194:G194"/>
    <mergeCell ref="B99:I99"/>
    <mergeCell ref="C112:G112"/>
    <mergeCell ref="B116:I116"/>
    <mergeCell ref="C44:G44"/>
    <mergeCell ref="B48:I48"/>
    <mergeCell ref="H29:K29"/>
    <mergeCell ref="R186:T186"/>
    <mergeCell ref="C163:G163"/>
    <mergeCell ref="B167:I167"/>
    <mergeCell ref="C177:G177"/>
    <mergeCell ref="C180:G180"/>
    <mergeCell ref="B184:I184"/>
    <mergeCell ref="R185:T185"/>
    <mergeCell ref="N152:O152"/>
    <mergeCell ref="N99:O99"/>
    <mergeCell ref="C154:G154"/>
    <mergeCell ref="C126:G126"/>
    <mergeCell ref="C129:G129"/>
    <mergeCell ref="B133:I133"/>
    <mergeCell ref="C137:G137"/>
    <mergeCell ref="N33:O33"/>
    <mergeCell ref="N43:O44"/>
    <mergeCell ref="N59:O60"/>
    <mergeCell ref="C109:G109"/>
    <mergeCell ref="N49:O49"/>
    <mergeCell ref="C103:G103"/>
    <mergeCell ref="C106:G106"/>
    <mergeCell ref="N84:O84"/>
    <mergeCell ref="N75:O76"/>
    <mergeCell ref="N48:O48"/>
    <mergeCell ref="C58:G58"/>
    <mergeCell ref="B65:I65"/>
    <mergeCell ref="C95:G95"/>
    <mergeCell ref="C52:G52"/>
    <mergeCell ref="C92:G92"/>
    <mergeCell ref="C75:G75"/>
    <mergeCell ref="B82:I82"/>
    <mergeCell ref="C86:G86"/>
    <mergeCell ref="C89:G89"/>
    <mergeCell ref="C78:G78"/>
    <mergeCell ref="C55:G55"/>
    <mergeCell ref="N82:O82"/>
    <mergeCell ref="N29:O29"/>
    <mergeCell ref="C41:G41"/>
    <mergeCell ref="C35:G35"/>
    <mergeCell ref="C38:G38"/>
    <mergeCell ref="N31:O31"/>
    <mergeCell ref="N66:O66"/>
    <mergeCell ref="N197:O197"/>
    <mergeCell ref="N198:O198"/>
    <mergeCell ref="N181:O181"/>
    <mergeCell ref="N186:O186"/>
    <mergeCell ref="N178:O178"/>
    <mergeCell ref="N90:N91"/>
    <mergeCell ref="N180:O180"/>
    <mergeCell ref="N175:N176"/>
    <mergeCell ref="O172:O173"/>
    <mergeCell ref="N133:O133"/>
    <mergeCell ref="N150:O150"/>
    <mergeCell ref="N167:O167"/>
    <mergeCell ref="N184:O184"/>
    <mergeCell ref="N163:O163"/>
    <mergeCell ref="N94:O95"/>
    <mergeCell ref="N129:O130"/>
    <mergeCell ref="N145:O146"/>
    <mergeCell ref="N65:O65"/>
    <mergeCell ref="G14:K14"/>
    <mergeCell ref="C21:J21"/>
    <mergeCell ref="C23:J23"/>
    <mergeCell ref="C25:J25"/>
    <mergeCell ref="C27:J27"/>
    <mergeCell ref="N7:U7"/>
    <mergeCell ref="D11:F11"/>
    <mergeCell ref="C6:J6"/>
    <mergeCell ref="C19:J19"/>
    <mergeCell ref="N12:O13"/>
    <mergeCell ref="C28:J28"/>
    <mergeCell ref="C185:D185"/>
    <mergeCell ref="E185:F185"/>
    <mergeCell ref="E49:F49"/>
    <mergeCell ref="B2:G2"/>
    <mergeCell ref="C32:D32"/>
    <mergeCell ref="C49:D49"/>
    <mergeCell ref="C66:D66"/>
    <mergeCell ref="E32:F32"/>
    <mergeCell ref="E66:F66"/>
    <mergeCell ref="C83:D83"/>
    <mergeCell ref="E83:F83"/>
    <mergeCell ref="B3:K3"/>
    <mergeCell ref="C100:D100"/>
    <mergeCell ref="E100:F100"/>
    <mergeCell ref="C117:D117"/>
    <mergeCell ref="E117:F117"/>
    <mergeCell ref="C134:D134"/>
    <mergeCell ref="E134:F134"/>
    <mergeCell ref="C151:D151"/>
    <mergeCell ref="E151:F151"/>
    <mergeCell ref="C168:D168"/>
    <mergeCell ref="E168:F168"/>
    <mergeCell ref="C5:J5"/>
  </mergeCells>
  <conditionalFormatting sqref="B35:C35">
    <cfRule type="expression" dxfId="79" priority="39">
      <formula>""</formula>
    </cfRule>
    <cfRule type="containsText" dxfId="78" priority="40" operator="containsText" text="&quot;&quot;">
      <formula>NOT(ISERROR(SEARCH("""""",B35)))</formula>
    </cfRule>
  </conditionalFormatting>
  <conditionalFormatting sqref="B52:C52">
    <cfRule type="expression" dxfId="77" priority="37">
      <formula>""</formula>
    </cfRule>
    <cfRule type="containsText" dxfId="76" priority="38" operator="containsText" text="&quot;&quot;">
      <formula>NOT(ISERROR(SEARCH("""""",B52)))</formula>
    </cfRule>
  </conditionalFormatting>
  <conditionalFormatting sqref="B69:C69">
    <cfRule type="expression" dxfId="75" priority="35">
      <formula>""</formula>
    </cfRule>
    <cfRule type="containsText" dxfId="74" priority="36" operator="containsText" text="&quot;&quot;">
      <formula>NOT(ISERROR(SEARCH("""""",B69)))</formula>
    </cfRule>
  </conditionalFormatting>
  <conditionalFormatting sqref="B86:C86">
    <cfRule type="expression" dxfId="73" priority="33">
      <formula>""</formula>
    </cfRule>
    <cfRule type="containsText" dxfId="72" priority="34" operator="containsText" text="&quot;&quot;">
      <formula>NOT(ISERROR(SEARCH("""""",B86)))</formula>
    </cfRule>
  </conditionalFormatting>
  <conditionalFormatting sqref="B103:C103">
    <cfRule type="expression" dxfId="71" priority="27">
      <formula>""</formula>
    </cfRule>
    <cfRule type="containsText" dxfId="70" priority="28" operator="containsText" text="&quot;&quot;">
      <formula>NOT(ISERROR(SEARCH("""""",B103)))</formula>
    </cfRule>
  </conditionalFormatting>
  <conditionalFormatting sqref="B120:C120">
    <cfRule type="expression" dxfId="69" priority="25">
      <formula>""</formula>
    </cfRule>
    <cfRule type="containsText" dxfId="68" priority="26" operator="containsText" text="&quot;&quot;">
      <formula>NOT(ISERROR(SEARCH("""""",B120)))</formula>
    </cfRule>
  </conditionalFormatting>
  <conditionalFormatting sqref="B137:C137">
    <cfRule type="expression" dxfId="67" priority="23">
      <formula>""</formula>
    </cfRule>
    <cfRule type="containsText" dxfId="66" priority="24" operator="containsText" text="&quot;&quot;">
      <formula>NOT(ISERROR(SEARCH("""""",B137)))</formula>
    </cfRule>
  </conditionalFormatting>
  <conditionalFormatting sqref="B154:C154">
    <cfRule type="expression" dxfId="65" priority="21">
      <formula>""</formula>
    </cfRule>
    <cfRule type="containsText" dxfId="64" priority="22" operator="containsText" text="&quot;&quot;">
      <formula>NOT(ISERROR(SEARCH("""""",B154)))</formula>
    </cfRule>
  </conditionalFormatting>
  <conditionalFormatting sqref="B171:C171">
    <cfRule type="expression" dxfId="63" priority="19">
      <formula>""</formula>
    </cfRule>
    <cfRule type="containsText" dxfId="62" priority="20" operator="containsText" text="&quot;&quot;">
      <formula>NOT(ISERROR(SEARCH("""""",B171)))</formula>
    </cfRule>
  </conditionalFormatting>
  <conditionalFormatting sqref="B188:C188">
    <cfRule type="expression" dxfId="61" priority="17">
      <formula>""</formula>
    </cfRule>
    <cfRule type="containsText" dxfId="60" priority="18" operator="containsText" text="&quot;&quot;">
      <formula>NOT(ISERROR(SEARCH("""""",B188)))</formula>
    </cfRule>
  </conditionalFormatting>
  <conditionalFormatting sqref="C38:G38">
    <cfRule type="expression" dxfId="59" priority="14">
      <formula>$C$35="Not applicable/No Impact"</formula>
    </cfRule>
  </conditionalFormatting>
  <conditionalFormatting sqref="C41:G41">
    <cfRule type="expression" dxfId="58" priority="12">
      <formula>$C$35="Not applicable/No Impact"</formula>
    </cfRule>
  </conditionalFormatting>
  <conditionalFormatting sqref="C55:G55 C58:G58">
    <cfRule type="expression" dxfId="57" priority="9">
      <formula>$C$52="Not applicable/No impact"</formula>
    </cfRule>
  </conditionalFormatting>
  <conditionalFormatting sqref="C72:G72 C75:G75">
    <cfRule type="expression" dxfId="56" priority="8">
      <formula>$C$69="Not applicable/No impact"</formula>
    </cfRule>
  </conditionalFormatting>
  <conditionalFormatting sqref="C89:G89 C92:G92">
    <cfRule type="expression" dxfId="55" priority="7">
      <formula>$C$86="Not applicable/No impact"</formula>
    </cfRule>
  </conditionalFormatting>
  <conditionalFormatting sqref="C106:G106 C109:G109">
    <cfRule type="expression" dxfId="54" priority="6">
      <formula>$C$103="Not applicable/No impact"</formula>
    </cfRule>
  </conditionalFormatting>
  <conditionalFormatting sqref="C123:G123 C126:G126">
    <cfRule type="expression" dxfId="53" priority="5">
      <formula>$C$120="Not applicable/No impact"</formula>
    </cfRule>
  </conditionalFormatting>
  <conditionalFormatting sqref="C140:G140 C143:G143">
    <cfRule type="expression" dxfId="52" priority="4">
      <formula>$C$137="Not applicable/No impact"</formula>
    </cfRule>
  </conditionalFormatting>
  <conditionalFormatting sqref="C157:G157 C160:G160">
    <cfRule type="expression" dxfId="51" priority="3">
      <formula>$C$154="Not applicable/No impact"</formula>
    </cfRule>
  </conditionalFormatting>
  <conditionalFormatting sqref="C174:G174 C177:G177">
    <cfRule type="expression" dxfId="50" priority="2">
      <formula>$C$171="Not applicable"</formula>
    </cfRule>
  </conditionalFormatting>
  <conditionalFormatting sqref="C191:G191 C194:G194">
    <cfRule type="expression" dxfId="49" priority="1">
      <formula>$C$188="Not applicable/No impact"</formula>
    </cfRule>
  </conditionalFormatting>
  <dataValidations count="1">
    <dataValidation errorStyle="warning" showInputMessage="1" showErrorMessage="1" error="You must select an option for this question" sqref="B35 B52 B69 B86 B103 B120 B137 B154 B171 B188"/>
  </dataValidations>
  <hyperlinks>
    <hyperlink ref="G15" r:id="rId1"/>
    <hyperlink ref="N12:O13" r:id="rId2" display="If you have a question that is not covered by the in-tool guidance - please refer to the User Guide available at https://www.netzero.im/resources/public-bodies/cia/"/>
  </hyperlinks>
  <pageMargins left="0.7" right="0.7" top="0.75" bottom="0.75" header="0.3" footer="0.3"/>
  <pageSetup scale="69" orientation="portrait" r:id="rId3"/>
  <rowBreaks count="5" manualBreakCount="5">
    <brk id="28" max="12" man="1"/>
    <brk id="62" max="12" man="1"/>
    <brk id="97" max="12" man="1"/>
    <brk id="130" max="12" man="1"/>
    <brk id="165" max="12" man="1"/>
  </rowBreaks>
  <drawing r:id="rId4"/>
  <legacyDrawing r:id="rId5"/>
  <extLst>
    <ext xmlns:x14="http://schemas.microsoft.com/office/spreadsheetml/2009/9/main" uri="{CCE6A557-97BC-4b89-ADB6-D9C93CAAB3DF}">
      <x14:dataValidations xmlns:xm="http://schemas.microsoft.com/office/excel/2006/main" count="11">
        <x14:dataValidation type="list" allowBlank="1" showInputMessage="1" showErrorMessage="1">
          <x14:formula1>
            <xm:f>'Drop downs'!$G$7:$G$8</xm:f>
          </x14:formula1>
          <xm:sqref>C55 C194 C38 C58 C72 C75 C89 C92 C106 C109 C123 C126 C140 C143 C157 C160 C174 C177 C191 C41</xm:sqref>
        </x14:dataValidation>
        <x14:dataValidation type="list" errorStyle="warning" showInputMessage="1" showErrorMessage="1" error="You must select an option for this question">
          <x14:formula1>
            <xm:f>'Drop downs'!$I$15:$I$19</xm:f>
          </x14:formula1>
          <xm:sqref>C52:G52</xm:sqref>
        </x14:dataValidation>
        <x14:dataValidation type="list" errorStyle="warning" showInputMessage="1" showErrorMessage="1" error="You must select an option for this question">
          <x14:formula1>
            <xm:f>'Drop downs'!$I$22:$I$26</xm:f>
          </x14:formula1>
          <xm:sqref>C69:G69</xm:sqref>
        </x14:dataValidation>
        <x14:dataValidation type="list" errorStyle="warning" showInputMessage="1" showErrorMessage="1" error="You must select an option for this question">
          <x14:formula1>
            <xm:f>'Drop downs'!$I$29:$I$33</xm:f>
          </x14:formula1>
          <xm:sqref>C86:G86</xm:sqref>
        </x14:dataValidation>
        <x14:dataValidation type="list" errorStyle="warning" showInputMessage="1" showErrorMessage="1" error="You must select an option for this question">
          <x14:formula1>
            <xm:f>'Drop downs'!$I$36:$I$40</xm:f>
          </x14:formula1>
          <xm:sqref>C103:G103</xm:sqref>
        </x14:dataValidation>
        <x14:dataValidation type="list" errorStyle="warning" showInputMessage="1" showErrorMessage="1" error="You must select an option for this question">
          <x14:formula1>
            <xm:f>'Drop downs'!$I$43:$I$47</xm:f>
          </x14:formula1>
          <xm:sqref>C120:G120</xm:sqref>
        </x14:dataValidation>
        <x14:dataValidation type="list" errorStyle="warning" showInputMessage="1" showErrorMessage="1" error="You must select an option for this question">
          <x14:formula1>
            <xm:f>'Drop downs'!$I$50:$I$54</xm:f>
          </x14:formula1>
          <xm:sqref>C137:G137</xm:sqref>
        </x14:dataValidation>
        <x14:dataValidation type="list" errorStyle="warning" showInputMessage="1" showErrorMessage="1" error="You must select an option for this question">
          <x14:formula1>
            <xm:f>'Drop downs'!$I$57:$I$61</xm:f>
          </x14:formula1>
          <xm:sqref>C154:G154</xm:sqref>
        </x14:dataValidation>
        <x14:dataValidation type="list" errorStyle="warning" showInputMessage="1" showErrorMessage="1" error="You must select an option for this question">
          <x14:formula1>
            <xm:f>'Drop downs'!$I$64:$I$68</xm:f>
          </x14:formula1>
          <xm:sqref>C171:G171</xm:sqref>
        </x14:dataValidation>
        <x14:dataValidation type="list" errorStyle="warning" showInputMessage="1" showErrorMessage="1" error="You must select an option for this question">
          <x14:formula1>
            <xm:f>'Drop downs'!$I$71:$I$75</xm:f>
          </x14:formula1>
          <xm:sqref>C188:G188</xm:sqref>
        </x14:dataValidation>
        <x14:dataValidation type="list" errorStyle="warning" showInputMessage="1" error="You must select an option for this question">
          <x14:formula1>
            <xm:f>'Drop downs'!$N$15:$N$19</xm:f>
          </x14:formula1>
          <xm:sqref>C35:G35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W220"/>
  <sheetViews>
    <sheetView topLeftCell="A10" zoomScaleNormal="100" workbookViewId="0">
      <selection activeCell="C9" sqref="C9:G9"/>
    </sheetView>
  </sheetViews>
  <sheetFormatPr defaultColWidth="9.140625" defaultRowHeight="15" x14ac:dyDescent="0.25"/>
  <cols>
    <col min="1" max="1" width="3.140625" customWidth="1"/>
    <col min="2" max="2" width="2.28515625" customWidth="1"/>
    <col min="3" max="6" width="14" customWidth="1"/>
    <col min="7" max="7" width="23" customWidth="1"/>
    <col min="8" max="8" width="3.85546875" customWidth="1"/>
    <col min="9" max="9" width="12.28515625" customWidth="1"/>
    <col min="10" max="10" width="11" customWidth="1"/>
    <col min="11" max="11" width="2.5703125" customWidth="1"/>
    <col min="12" max="12" width="7.5703125" hidden="1" customWidth="1"/>
    <col min="13" max="13" width="3.28515625" customWidth="1"/>
    <col min="14" max="14" width="52" customWidth="1"/>
    <col min="15" max="15" width="52.85546875" customWidth="1"/>
    <col min="16" max="16" width="7.42578125" customWidth="1"/>
    <col min="17" max="17" width="3.5703125" customWidth="1"/>
    <col min="18" max="18" width="29.28515625" customWidth="1"/>
    <col min="20" max="20" width="17.5703125" hidden="1" customWidth="1"/>
    <col min="21" max="21" width="10.85546875" hidden="1" customWidth="1"/>
    <col min="22" max="22" width="0" hidden="1" customWidth="1"/>
    <col min="23" max="23" width="24.42578125" hidden="1" customWidth="1"/>
  </cols>
  <sheetData>
    <row r="1" spans="1:23" x14ac:dyDescent="0.25">
      <c r="A1" s="72"/>
      <c r="B1" s="72"/>
      <c r="C1" s="72"/>
      <c r="D1" s="72"/>
      <c r="E1" s="72"/>
      <c r="F1" s="72"/>
      <c r="G1" s="72"/>
      <c r="H1" s="72"/>
      <c r="I1" s="72"/>
      <c r="J1" s="72"/>
      <c r="K1" s="72"/>
      <c r="L1" s="72"/>
      <c r="M1" s="72"/>
      <c r="N1" s="4"/>
      <c r="O1" s="4"/>
      <c r="P1" s="4"/>
      <c r="Q1" s="4"/>
    </row>
    <row r="2" spans="1:23" ht="28.5" x14ac:dyDescent="0.25">
      <c r="A2" s="72"/>
      <c r="B2" s="270" t="s">
        <v>266</v>
      </c>
      <c r="C2" s="270"/>
      <c r="D2" s="270"/>
      <c r="E2" s="270"/>
      <c r="F2" s="270"/>
      <c r="G2" s="270"/>
      <c r="H2" s="270"/>
      <c r="I2" s="270"/>
      <c r="J2" s="270"/>
      <c r="K2" s="270"/>
      <c r="M2" s="72"/>
      <c r="N2" s="4"/>
      <c r="O2" s="4"/>
      <c r="P2" s="4"/>
      <c r="Q2" s="4"/>
    </row>
    <row r="3" spans="1:23" s="60" customFormat="1" ht="21" x14ac:dyDescent="0.35">
      <c r="A3" s="112"/>
      <c r="B3" s="123" t="s">
        <v>298</v>
      </c>
      <c r="C3" s="123"/>
      <c r="D3" s="123"/>
      <c r="E3" s="123"/>
      <c r="F3" s="123"/>
      <c r="G3" s="123"/>
      <c r="H3" s="126" t="s">
        <v>300</v>
      </c>
      <c r="I3" s="123"/>
      <c r="J3" s="123"/>
      <c r="K3" s="123"/>
      <c r="L3" s="61" t="s">
        <v>4</v>
      </c>
      <c r="M3" s="108"/>
      <c r="N3" s="137"/>
      <c r="O3" s="137"/>
      <c r="P3" s="138"/>
      <c r="Q3" s="139"/>
      <c r="R3" s="62"/>
    </row>
    <row r="4" spans="1:23" s="63" customFormat="1" ht="18.75" x14ac:dyDescent="0.3">
      <c r="A4" s="109"/>
      <c r="B4" s="6" t="s">
        <v>26</v>
      </c>
      <c r="C4" s="14"/>
      <c r="D4" s="14"/>
      <c r="E4" s="14"/>
      <c r="F4" s="14"/>
      <c r="G4" s="14"/>
      <c r="H4" s="14"/>
      <c r="I4" s="14"/>
      <c r="J4" s="14"/>
      <c r="K4" s="14"/>
      <c r="M4" s="109"/>
      <c r="N4" s="6"/>
      <c r="O4" s="14"/>
      <c r="P4" s="14"/>
      <c r="Q4" s="14"/>
      <c r="U4" s="63" t="s">
        <v>27</v>
      </c>
    </row>
    <row r="5" spans="1:23" ht="81.75" customHeight="1" x14ac:dyDescent="0.25">
      <c r="A5" s="72"/>
      <c r="B5" s="4"/>
      <c r="C5" s="215" t="s">
        <v>347</v>
      </c>
      <c r="D5" s="215"/>
      <c r="E5" s="215"/>
      <c r="F5" s="215"/>
      <c r="G5" s="215"/>
      <c r="H5" s="215"/>
      <c r="I5" s="215"/>
      <c r="J5" s="215"/>
      <c r="K5" s="4"/>
      <c r="L5" t="s">
        <v>6</v>
      </c>
      <c r="M5" s="72"/>
      <c r="N5" s="27"/>
      <c r="O5" s="27"/>
      <c r="P5" s="7"/>
      <c r="Q5" s="7"/>
      <c r="R5" s="56"/>
      <c r="U5" t="s">
        <v>28</v>
      </c>
      <c r="V5" t="b">
        <v>0</v>
      </c>
      <c r="W5" s="11" t="e">
        <f>IF(#REF!=TRUE,"Consider for the access and equity question: is the cost prohibitive for most? Are they in accessible locations? Do you need a car to get there?","")</f>
        <v>#REF!</v>
      </c>
    </row>
    <row r="6" spans="1:23" x14ac:dyDescent="0.25">
      <c r="A6" s="72"/>
      <c r="B6" s="4"/>
      <c r="C6" s="239" t="s">
        <v>327</v>
      </c>
      <c r="D6" s="239"/>
      <c r="E6" s="235" t="s">
        <v>337</v>
      </c>
      <c r="F6" s="235"/>
      <c r="G6" s="125" t="s">
        <v>328</v>
      </c>
      <c r="H6" s="4"/>
      <c r="I6" s="4"/>
      <c r="J6" s="4"/>
      <c r="K6" s="4"/>
      <c r="M6" s="72"/>
      <c r="N6" s="4"/>
      <c r="O6" s="140"/>
      <c r="P6" s="7"/>
      <c r="Q6" s="7"/>
      <c r="R6" s="56"/>
      <c r="U6" t="s">
        <v>29</v>
      </c>
      <c r="V6" t="b">
        <v>0</v>
      </c>
    </row>
    <row r="7" spans="1:23" x14ac:dyDescent="0.25">
      <c r="A7" s="72"/>
      <c r="B7" s="7"/>
      <c r="C7" s="4"/>
      <c r="D7" s="4"/>
      <c r="E7" s="4"/>
      <c r="F7" s="4"/>
      <c r="G7" s="4"/>
      <c r="H7" s="4"/>
      <c r="I7" s="4"/>
      <c r="J7" s="4"/>
      <c r="K7" s="4"/>
      <c r="M7" s="72"/>
      <c r="N7" s="27"/>
      <c r="O7" s="27"/>
      <c r="P7" s="7"/>
      <c r="Q7" s="4"/>
      <c r="U7" t="s">
        <v>30</v>
      </c>
      <c r="V7" t="b">
        <v>0</v>
      </c>
    </row>
    <row r="8" spans="1:23" x14ac:dyDescent="0.25">
      <c r="A8" s="72"/>
      <c r="B8" s="118" t="s">
        <v>301</v>
      </c>
      <c r="C8" s="118"/>
      <c r="D8" s="118"/>
      <c r="E8" s="118"/>
      <c r="F8" s="118"/>
      <c r="G8" s="118"/>
      <c r="H8" s="5"/>
      <c r="I8" s="5"/>
      <c r="J8" s="4"/>
      <c r="K8" s="4"/>
      <c r="M8" s="72"/>
      <c r="N8" s="4"/>
      <c r="O8" s="13"/>
      <c r="P8" s="7"/>
      <c r="Q8" s="4"/>
      <c r="U8" t="s">
        <v>31</v>
      </c>
      <c r="V8" t="b">
        <v>0</v>
      </c>
    </row>
    <row r="9" spans="1:23" x14ac:dyDescent="0.25">
      <c r="A9" s="72"/>
      <c r="B9" s="4"/>
      <c r="C9" s="247"/>
      <c r="D9" s="248"/>
      <c r="E9" s="248"/>
      <c r="F9" s="248"/>
      <c r="G9" s="249"/>
      <c r="H9" s="4"/>
      <c r="I9" s="4"/>
      <c r="J9" s="4"/>
      <c r="K9" s="4"/>
      <c r="L9" s="1">
        <f>IF(C9="significantly promote healthy and/or affordable food",2, IF(C9="slightly promote healthy and/or affordable food",1, IF(C9="not applicable/no impact",0, IF(C9="slightly impede healthy and/or affordable food", -1, IF(C9="significantly impede healthy and/or affordable food", -2, IF(C9="",20,""))))))</f>
        <v>20</v>
      </c>
      <c r="M9" s="72"/>
      <c r="N9" s="5"/>
      <c r="O9" s="118"/>
      <c r="P9" s="7"/>
      <c r="Q9" s="4"/>
      <c r="U9" t="s">
        <v>32</v>
      </c>
      <c r="V9" t="b">
        <v>0</v>
      </c>
    </row>
    <row r="10" spans="1:23" x14ac:dyDescent="0.25">
      <c r="A10" s="72"/>
      <c r="B10" s="4"/>
      <c r="C10" s="4"/>
      <c r="D10" s="4"/>
      <c r="E10" s="4"/>
      <c r="F10" s="4"/>
      <c r="G10" s="4"/>
      <c r="H10" s="4"/>
      <c r="I10" s="4"/>
      <c r="J10" s="4"/>
      <c r="K10" s="4"/>
      <c r="M10" s="72"/>
      <c r="N10" s="4"/>
      <c r="O10" s="4"/>
      <c r="P10" s="7"/>
      <c r="Q10" s="4"/>
      <c r="U10" t="s">
        <v>33</v>
      </c>
      <c r="V10" t="b">
        <v>0</v>
      </c>
    </row>
    <row r="11" spans="1:23" ht="14.45" customHeight="1" x14ac:dyDescent="0.25">
      <c r="A11" s="72"/>
      <c r="B11" s="5" t="s">
        <v>12</v>
      </c>
      <c r="C11" s="4"/>
      <c r="D11" s="4"/>
      <c r="E11" s="4"/>
      <c r="F11" s="4"/>
      <c r="G11" s="4"/>
      <c r="H11" s="4"/>
      <c r="I11" s="4"/>
      <c r="J11" s="4"/>
      <c r="K11" s="4"/>
      <c r="M11" s="72"/>
      <c r="N11" s="4"/>
      <c r="O11" s="4"/>
      <c r="P11" s="7"/>
      <c r="Q11" s="4"/>
      <c r="U11" t="s">
        <v>34</v>
      </c>
      <c r="V11" t="b">
        <v>0</v>
      </c>
    </row>
    <row r="12" spans="1:23" ht="15" customHeight="1" x14ac:dyDescent="0.25">
      <c r="A12" s="72"/>
      <c r="B12" s="86"/>
      <c r="C12" s="244"/>
      <c r="D12" s="245"/>
      <c r="E12" s="245"/>
      <c r="F12" s="245"/>
      <c r="G12" s="246"/>
      <c r="H12" s="86"/>
      <c r="I12" s="86"/>
      <c r="J12" s="4"/>
      <c r="K12" s="4"/>
      <c r="L12" s="59" t="str">
        <f>IF(C12="yes",2,IF(C12="no",1,"0"))</f>
        <v>0</v>
      </c>
      <c r="M12" s="72"/>
      <c r="N12" s="4"/>
      <c r="O12" s="4"/>
      <c r="P12" s="7"/>
      <c r="Q12" s="4"/>
      <c r="U12" t="s">
        <v>35</v>
      </c>
      <c r="V12" t="b">
        <v>0</v>
      </c>
    </row>
    <row r="13" spans="1:23" x14ac:dyDescent="0.25">
      <c r="A13" s="72"/>
      <c r="B13" s="4"/>
      <c r="C13" s="4"/>
      <c r="D13" s="4"/>
      <c r="E13" s="4"/>
      <c r="F13" s="4"/>
      <c r="G13" s="4"/>
      <c r="H13" s="4"/>
      <c r="I13" s="4"/>
      <c r="J13" s="4"/>
      <c r="K13" s="4"/>
      <c r="M13" s="72"/>
      <c r="N13" s="4"/>
      <c r="O13" s="140"/>
      <c r="P13" s="7"/>
      <c r="Q13" s="4"/>
      <c r="U13" t="s">
        <v>36</v>
      </c>
      <c r="V13" t="b">
        <v>0</v>
      </c>
    </row>
    <row r="14" spans="1:23" x14ac:dyDescent="0.25">
      <c r="A14" s="72"/>
      <c r="B14" s="118" t="s">
        <v>302</v>
      </c>
      <c r="C14" s="118"/>
      <c r="D14" s="118"/>
      <c r="E14" s="118"/>
      <c r="F14" s="118"/>
      <c r="G14" s="118"/>
      <c r="H14" s="5"/>
      <c r="I14" s="5"/>
      <c r="J14" s="4"/>
      <c r="K14" s="4"/>
      <c r="M14" s="72"/>
      <c r="N14" s="4"/>
      <c r="O14" s="140"/>
      <c r="P14" s="7"/>
      <c r="Q14" s="4"/>
      <c r="U14" t="s">
        <v>37</v>
      </c>
      <c r="V14" t="b">
        <v>0</v>
      </c>
    </row>
    <row r="15" spans="1:23" x14ac:dyDescent="0.25">
      <c r="A15" s="72"/>
      <c r="B15" s="86"/>
      <c r="C15" s="266"/>
      <c r="D15" s="267"/>
      <c r="E15" s="267"/>
      <c r="F15" s="267"/>
      <c r="G15" s="268"/>
      <c r="H15" s="4"/>
      <c r="I15" s="4"/>
      <c r="J15" s="4"/>
      <c r="K15" s="4"/>
      <c r="L15" s="59" t="str">
        <f>IF(C15="yes",2,IF(C15="no",1,"0"))</f>
        <v>0</v>
      </c>
      <c r="M15" s="72"/>
      <c r="N15" s="4"/>
      <c r="O15" s="96"/>
      <c r="P15" s="7"/>
      <c r="Q15" s="4"/>
      <c r="U15" t="s">
        <v>38</v>
      </c>
      <c r="V15" t="b">
        <v>0</v>
      </c>
    </row>
    <row r="16" spans="1:23" x14ac:dyDescent="0.25">
      <c r="A16" s="72"/>
      <c r="B16" s="4"/>
      <c r="C16" s="4"/>
      <c r="D16" s="4"/>
      <c r="E16" s="4"/>
      <c r="F16" s="4"/>
      <c r="G16" s="4"/>
      <c r="H16" s="4"/>
      <c r="I16" s="4"/>
      <c r="J16" s="4"/>
      <c r="K16" s="4"/>
      <c r="L16" s="3">
        <f>IF(C9="",20,((L9*L12)*L15))</f>
        <v>20</v>
      </c>
      <c r="M16" s="72"/>
      <c r="N16" s="27"/>
      <c r="O16" s="27"/>
      <c r="P16" s="7"/>
      <c r="Q16" s="4"/>
      <c r="U16" t="s">
        <v>39</v>
      </c>
      <c r="V16" t="b">
        <v>0</v>
      </c>
    </row>
    <row r="17" spans="1:17" x14ac:dyDescent="0.25">
      <c r="A17" s="72"/>
      <c r="B17" s="5" t="s">
        <v>21</v>
      </c>
      <c r="C17" s="5" t="s">
        <v>560</v>
      </c>
      <c r="D17" s="4"/>
      <c r="E17" s="4"/>
      <c r="F17" s="4"/>
      <c r="G17" s="4"/>
      <c r="H17" s="4"/>
      <c r="I17" s="4"/>
      <c r="J17" s="4"/>
      <c r="K17" s="4"/>
      <c r="L17" s="3"/>
      <c r="M17" s="72"/>
      <c r="N17" s="27"/>
      <c r="O17" s="27"/>
      <c r="P17" s="7"/>
      <c r="Q17" s="4"/>
    </row>
    <row r="18" spans="1:17" ht="36" customHeight="1" x14ac:dyDescent="0.25">
      <c r="A18" s="72"/>
      <c r="B18" s="4"/>
      <c r="C18" s="269"/>
      <c r="D18" s="269"/>
      <c r="E18" s="269"/>
      <c r="F18" s="269"/>
      <c r="G18" s="269"/>
      <c r="H18" s="4"/>
      <c r="I18" s="4"/>
      <c r="J18" s="4"/>
      <c r="K18" s="4"/>
      <c r="L18" s="92">
        <f>IF(C18="",1,0)</f>
        <v>1</v>
      </c>
      <c r="M18" s="72"/>
      <c r="N18" s="96"/>
      <c r="O18" s="96"/>
      <c r="P18" s="7"/>
      <c r="Q18" s="4"/>
    </row>
    <row r="19" spans="1:17" x14ac:dyDescent="0.25">
      <c r="A19" s="72"/>
      <c r="B19" s="4"/>
      <c r="C19" s="4"/>
      <c r="D19" s="4"/>
      <c r="E19" s="4"/>
      <c r="F19" s="4"/>
      <c r="G19" s="4"/>
      <c r="H19" s="4"/>
      <c r="I19" s="4"/>
      <c r="J19" s="4"/>
      <c r="K19" s="4"/>
      <c r="L19" s="3"/>
      <c r="M19" s="72"/>
      <c r="N19" s="4"/>
      <c r="O19" s="4"/>
      <c r="P19" s="7"/>
      <c r="Q19" s="4"/>
    </row>
    <row r="20" spans="1:17" x14ac:dyDescent="0.25">
      <c r="A20" s="72"/>
      <c r="B20" s="72"/>
      <c r="C20" s="72"/>
      <c r="D20" s="72"/>
      <c r="E20" s="72"/>
      <c r="F20" s="72"/>
      <c r="G20" s="72"/>
      <c r="H20" s="72"/>
      <c r="I20" s="72"/>
      <c r="J20" s="72"/>
      <c r="K20" s="72"/>
      <c r="L20" s="3"/>
      <c r="M20" s="72"/>
      <c r="N20" s="4"/>
      <c r="O20" s="4"/>
      <c r="P20" s="4"/>
      <c r="Q20" s="4"/>
    </row>
    <row r="21" spans="1:17" s="40" customFormat="1" ht="18.75" x14ac:dyDescent="0.3">
      <c r="A21" s="110"/>
      <c r="B21" s="6" t="s">
        <v>40</v>
      </c>
      <c r="C21" s="6"/>
      <c r="D21" s="6"/>
      <c r="E21" s="6"/>
      <c r="F21" s="6"/>
      <c r="G21" s="6"/>
      <c r="H21" s="6"/>
      <c r="I21" s="6"/>
      <c r="J21" s="6"/>
      <c r="K21" s="6"/>
      <c r="M21" s="110"/>
      <c r="N21" s="6"/>
      <c r="O21" s="6"/>
      <c r="P21" s="6"/>
      <c r="Q21" s="6"/>
    </row>
    <row r="22" spans="1:17" ht="99.75" customHeight="1" x14ac:dyDescent="0.25">
      <c r="A22" s="72"/>
      <c r="B22" s="4"/>
      <c r="C22" s="215" t="s">
        <v>344</v>
      </c>
      <c r="D22" s="215"/>
      <c r="E22" s="215"/>
      <c r="F22" s="215"/>
      <c r="G22" s="215"/>
      <c r="H22" s="215"/>
      <c r="I22" s="215"/>
      <c r="J22" s="15"/>
      <c r="K22" s="4"/>
      <c r="M22" s="72"/>
      <c r="N22" s="27"/>
      <c r="O22" s="27"/>
      <c r="P22" s="4"/>
      <c r="Q22" s="4"/>
    </row>
    <row r="23" spans="1:17" x14ac:dyDescent="0.25">
      <c r="A23" s="72"/>
      <c r="B23" s="117"/>
      <c r="C23" s="239" t="s">
        <v>327</v>
      </c>
      <c r="D23" s="239"/>
      <c r="E23" s="235" t="s">
        <v>337</v>
      </c>
      <c r="F23" s="235"/>
      <c r="G23" s="125" t="s">
        <v>328</v>
      </c>
      <c r="H23" s="4"/>
      <c r="I23" s="4"/>
      <c r="J23" s="4"/>
      <c r="K23" s="4"/>
      <c r="M23" s="72"/>
      <c r="N23" s="27"/>
      <c r="O23" s="27"/>
      <c r="P23" s="4"/>
      <c r="Q23" s="4"/>
    </row>
    <row r="24" spans="1:17" ht="14.1" customHeight="1" x14ac:dyDescent="0.25">
      <c r="A24" s="72"/>
      <c r="B24" s="4"/>
      <c r="C24" s="4"/>
      <c r="D24" s="4"/>
      <c r="E24" s="4"/>
      <c r="F24" s="4"/>
      <c r="G24" s="4"/>
      <c r="H24" s="4"/>
      <c r="I24" s="4"/>
      <c r="J24" s="4"/>
      <c r="K24" s="4"/>
      <c r="M24" s="72"/>
      <c r="N24" s="141"/>
      <c r="O24" s="4"/>
      <c r="P24" s="4"/>
      <c r="Q24" s="4"/>
    </row>
    <row r="25" spans="1:17" x14ac:dyDescent="0.25">
      <c r="A25" s="72"/>
      <c r="B25" s="5" t="s">
        <v>41</v>
      </c>
      <c r="C25" s="5"/>
      <c r="D25" s="5"/>
      <c r="E25" s="5"/>
      <c r="F25" s="5"/>
      <c r="G25" s="5"/>
      <c r="H25" s="5"/>
      <c r="I25" s="5"/>
      <c r="J25" s="4"/>
      <c r="K25" s="4"/>
      <c r="M25" s="72"/>
      <c r="N25" s="4"/>
      <c r="O25" s="4"/>
      <c r="P25" s="4"/>
      <c r="Q25" s="4"/>
    </row>
    <row r="26" spans="1:17" ht="15" customHeight="1" x14ac:dyDescent="0.25">
      <c r="A26" s="72"/>
      <c r="B26" s="4"/>
      <c r="C26" s="247"/>
      <c r="D26" s="248"/>
      <c r="E26" s="248"/>
      <c r="F26" s="248"/>
      <c r="G26" s="249"/>
      <c r="H26" s="4"/>
      <c r="I26" s="4"/>
      <c r="J26" s="4"/>
      <c r="K26" s="4"/>
      <c r="L26" s="1">
        <f>IF(C26="significantly increase positive health outcomes",2, IF(C26="slightly increase positive health outcomes",1, IF(C26="not applicable/no impact",0, IF(C26="slightly decrease positive health outcomes", -1, IF(C26="significantly decrease positive health outcomes", -2, IF(C26="",20,""))))))</f>
        <v>20</v>
      </c>
      <c r="M26" s="72"/>
      <c r="N26" s="5"/>
      <c r="O26" s="118"/>
      <c r="P26" s="4"/>
      <c r="Q26" s="4"/>
    </row>
    <row r="27" spans="1:17" x14ac:dyDescent="0.25">
      <c r="A27" s="72"/>
      <c r="B27" s="4"/>
      <c r="C27" s="4"/>
      <c r="D27" s="4"/>
      <c r="E27" s="4"/>
      <c r="F27" s="4"/>
      <c r="G27" s="4"/>
      <c r="H27" s="4"/>
      <c r="I27" s="4"/>
      <c r="J27" s="4"/>
      <c r="K27" s="4"/>
      <c r="M27" s="72"/>
      <c r="N27" s="4"/>
      <c r="O27" s="4"/>
      <c r="P27" s="4"/>
      <c r="Q27" s="4"/>
    </row>
    <row r="28" spans="1:17" x14ac:dyDescent="0.25">
      <c r="A28" s="72"/>
      <c r="B28" s="5" t="s">
        <v>12</v>
      </c>
      <c r="C28" s="4"/>
      <c r="D28" s="4"/>
      <c r="E28" s="4"/>
      <c r="F28" s="4"/>
      <c r="G28" s="4"/>
      <c r="H28" s="4"/>
      <c r="I28" s="4"/>
      <c r="J28" s="4"/>
      <c r="K28" s="4"/>
      <c r="M28" s="72"/>
      <c r="N28" s="4"/>
      <c r="O28" s="4"/>
      <c r="P28" s="4"/>
      <c r="Q28" s="4"/>
    </row>
    <row r="29" spans="1:17" ht="14.45" customHeight="1" x14ac:dyDescent="0.25">
      <c r="A29" s="72"/>
      <c r="B29" s="86"/>
      <c r="C29" s="244"/>
      <c r="D29" s="245"/>
      <c r="E29" s="245"/>
      <c r="F29" s="245"/>
      <c r="G29" s="246"/>
      <c r="H29" s="86"/>
      <c r="I29" s="86"/>
      <c r="J29" s="4"/>
      <c r="K29" s="4"/>
      <c r="L29" s="59" t="str">
        <f>IF(C29="yes",2,IF(C29="no",1,"0"))</f>
        <v>0</v>
      </c>
      <c r="M29" s="72"/>
      <c r="N29" s="4"/>
      <c r="O29" s="4"/>
      <c r="P29" s="4"/>
      <c r="Q29" s="4"/>
    </row>
    <row r="30" spans="1:17" x14ac:dyDescent="0.25">
      <c r="A30" s="72"/>
      <c r="B30" s="4"/>
      <c r="C30" s="4"/>
      <c r="D30" s="4"/>
      <c r="E30" s="4"/>
      <c r="F30" s="4"/>
      <c r="G30" s="4"/>
      <c r="H30" s="4"/>
      <c r="I30" s="4"/>
      <c r="J30" s="4"/>
      <c r="K30" s="4"/>
      <c r="M30" s="72"/>
      <c r="N30" s="4"/>
      <c r="O30" s="4"/>
      <c r="P30" s="4"/>
      <c r="Q30" s="4"/>
    </row>
    <row r="31" spans="1:17" x14ac:dyDescent="0.25">
      <c r="A31" s="72"/>
      <c r="B31" s="118" t="s">
        <v>43</v>
      </c>
      <c r="C31" s="119"/>
      <c r="D31" s="119"/>
      <c r="E31" s="119"/>
      <c r="F31" s="119"/>
      <c r="G31" s="119"/>
      <c r="H31" s="5"/>
      <c r="I31" s="5"/>
      <c r="J31" s="4"/>
      <c r="K31" s="4"/>
      <c r="M31" s="72"/>
      <c r="N31" s="86"/>
      <c r="O31" s="15"/>
      <c r="P31" s="4"/>
      <c r="Q31" s="4"/>
    </row>
    <row r="32" spans="1:17" x14ac:dyDescent="0.25">
      <c r="A32" s="72"/>
      <c r="B32" s="4"/>
      <c r="C32" s="263"/>
      <c r="D32" s="264"/>
      <c r="E32" s="264"/>
      <c r="F32" s="264"/>
      <c r="G32" s="265"/>
      <c r="H32" s="4"/>
      <c r="I32" s="4"/>
      <c r="J32" s="4"/>
      <c r="K32" s="4"/>
      <c r="L32" s="59" t="str">
        <f>IF(C32="yes",2,IF(C32="no",1,"0"))</f>
        <v>0</v>
      </c>
      <c r="M32" s="72"/>
      <c r="N32" s="4"/>
      <c r="O32" s="4"/>
      <c r="P32" s="4"/>
      <c r="Q32" s="4"/>
    </row>
    <row r="33" spans="1:17" ht="15" customHeight="1" x14ac:dyDescent="0.25">
      <c r="A33" s="72"/>
      <c r="B33" s="4"/>
      <c r="C33" s="4"/>
      <c r="D33" s="4"/>
      <c r="E33" s="4"/>
      <c r="F33" s="4"/>
      <c r="G33" s="4"/>
      <c r="H33" s="4"/>
      <c r="I33" s="4"/>
      <c r="J33" s="4"/>
      <c r="K33" s="4"/>
      <c r="L33" s="3">
        <f>IF(C26="",20,((L26*L29)*L32))</f>
        <v>20</v>
      </c>
      <c r="M33" s="72"/>
      <c r="N33" s="27"/>
      <c r="O33" s="27"/>
      <c r="P33" s="4"/>
      <c r="Q33" s="4"/>
    </row>
    <row r="34" spans="1:17" x14ac:dyDescent="0.25">
      <c r="A34" s="72"/>
      <c r="B34" s="5" t="s">
        <v>21</v>
      </c>
      <c r="C34" s="5" t="s">
        <v>560</v>
      </c>
      <c r="D34" s="4"/>
      <c r="E34" s="4"/>
      <c r="F34" s="4"/>
      <c r="G34" s="4"/>
      <c r="H34" s="4"/>
      <c r="I34" s="4"/>
      <c r="J34" s="4"/>
      <c r="K34" s="4"/>
      <c r="L34" s="3"/>
      <c r="M34" s="72"/>
      <c r="N34" s="27"/>
      <c r="O34" s="27"/>
      <c r="P34" s="4"/>
      <c r="Q34" s="4"/>
    </row>
    <row r="35" spans="1:17" ht="45" customHeight="1" x14ac:dyDescent="0.25">
      <c r="A35" s="72"/>
      <c r="B35" s="4"/>
      <c r="C35" s="269"/>
      <c r="D35" s="269"/>
      <c r="E35" s="269"/>
      <c r="F35" s="269"/>
      <c r="G35" s="269"/>
      <c r="H35" s="4"/>
      <c r="I35" s="4"/>
      <c r="J35" s="4"/>
      <c r="K35" s="4"/>
      <c r="L35" s="92">
        <f>IF(C35="",1,0)</f>
        <v>1</v>
      </c>
      <c r="M35" s="72"/>
      <c r="N35" s="27"/>
      <c r="O35" s="27"/>
      <c r="P35" s="4"/>
      <c r="Q35" s="4"/>
    </row>
    <row r="36" spans="1:17" x14ac:dyDescent="0.25">
      <c r="A36" s="72"/>
      <c r="B36" s="4"/>
      <c r="C36" s="4"/>
      <c r="D36" s="4"/>
      <c r="E36" s="4"/>
      <c r="F36" s="4"/>
      <c r="G36" s="4"/>
      <c r="H36" s="4"/>
      <c r="I36" s="4"/>
      <c r="J36" s="4"/>
      <c r="K36" s="4"/>
      <c r="L36" s="3"/>
      <c r="M36" s="72"/>
      <c r="N36" s="4"/>
      <c r="O36" s="4"/>
      <c r="P36" s="4"/>
      <c r="Q36" s="4"/>
    </row>
    <row r="37" spans="1:17" x14ac:dyDescent="0.25">
      <c r="A37" s="72"/>
      <c r="B37" s="72"/>
      <c r="C37" s="72"/>
      <c r="D37" s="72"/>
      <c r="E37" s="72"/>
      <c r="F37" s="72"/>
      <c r="G37" s="72"/>
      <c r="H37" s="72"/>
      <c r="I37" s="72"/>
      <c r="J37" s="72"/>
      <c r="K37" s="72"/>
      <c r="L37" s="3"/>
      <c r="M37" s="72"/>
      <c r="N37" s="4"/>
      <c r="O37" s="4"/>
      <c r="P37" s="4"/>
      <c r="Q37" s="4"/>
    </row>
    <row r="38" spans="1:17" s="63" customFormat="1" ht="18.75" x14ac:dyDescent="0.3">
      <c r="A38" s="109"/>
      <c r="B38" s="6" t="s">
        <v>44</v>
      </c>
      <c r="C38" s="14"/>
      <c r="D38" s="14"/>
      <c r="E38" s="14"/>
      <c r="F38" s="14"/>
      <c r="G38" s="14"/>
      <c r="H38" s="14"/>
      <c r="I38" s="14"/>
      <c r="J38" s="14"/>
      <c r="K38" s="14"/>
      <c r="L38" s="40"/>
      <c r="M38" s="109"/>
      <c r="N38" s="6"/>
      <c r="O38" s="14"/>
      <c r="P38" s="14"/>
      <c r="Q38" s="14"/>
    </row>
    <row r="39" spans="1:17" ht="99.75" customHeight="1" x14ac:dyDescent="0.25">
      <c r="A39" s="72"/>
      <c r="B39" s="4"/>
      <c r="C39" s="215" t="s">
        <v>343</v>
      </c>
      <c r="D39" s="215"/>
      <c r="E39" s="215"/>
      <c r="F39" s="215"/>
      <c r="G39" s="215"/>
      <c r="H39" s="215"/>
      <c r="I39" s="215"/>
      <c r="J39" s="27"/>
      <c r="K39" s="4"/>
      <c r="M39" s="72"/>
      <c r="N39" s="27"/>
      <c r="O39" s="27"/>
      <c r="P39" s="4"/>
      <c r="Q39" s="4"/>
    </row>
    <row r="40" spans="1:17" x14ac:dyDescent="0.25">
      <c r="A40" s="72"/>
      <c r="B40" s="117"/>
      <c r="C40" s="239" t="s">
        <v>327</v>
      </c>
      <c r="D40" s="239"/>
      <c r="E40" s="235" t="s">
        <v>337</v>
      </c>
      <c r="F40" s="235"/>
      <c r="G40" s="125" t="s">
        <v>328</v>
      </c>
      <c r="H40" s="4"/>
      <c r="I40" s="4"/>
      <c r="J40" s="4"/>
      <c r="K40" s="4"/>
      <c r="M40" s="72"/>
      <c r="N40" s="141"/>
      <c r="O40" s="4"/>
      <c r="P40" s="4"/>
      <c r="Q40" s="4"/>
    </row>
    <row r="41" spans="1:17" x14ac:dyDescent="0.25">
      <c r="A41" s="72"/>
      <c r="B41" s="4"/>
      <c r="C41" s="4"/>
      <c r="D41" s="4"/>
      <c r="E41" s="4"/>
      <c r="F41" s="4"/>
      <c r="G41" s="4"/>
      <c r="H41" s="4"/>
      <c r="I41" s="4"/>
      <c r="J41" s="4"/>
      <c r="K41" s="4"/>
      <c r="M41" s="72"/>
      <c r="N41" s="4"/>
      <c r="O41" s="4"/>
      <c r="P41" s="4"/>
      <c r="Q41" s="4"/>
    </row>
    <row r="42" spans="1:17" x14ac:dyDescent="0.25">
      <c r="A42" s="72"/>
      <c r="B42" s="5" t="s">
        <v>45</v>
      </c>
      <c r="C42" s="5"/>
      <c r="D42" s="5"/>
      <c r="E42" s="5"/>
      <c r="F42" s="5"/>
      <c r="G42" s="5"/>
      <c r="H42" s="5"/>
      <c r="I42" s="5"/>
      <c r="J42" s="4"/>
      <c r="K42" s="4"/>
      <c r="M42" s="72"/>
      <c r="N42" s="5"/>
      <c r="O42" s="5"/>
      <c r="P42" s="4"/>
      <c r="Q42" s="4"/>
    </row>
    <row r="43" spans="1:17" ht="14.45" customHeight="1" x14ac:dyDescent="0.25">
      <c r="A43" s="72"/>
      <c r="B43" s="4"/>
      <c r="C43" s="247"/>
      <c r="D43" s="248"/>
      <c r="E43" s="248"/>
      <c r="F43" s="248"/>
      <c r="G43" s="249"/>
      <c r="H43" s="4"/>
      <c r="I43" s="4"/>
      <c r="J43" s="4"/>
      <c r="K43" s="4"/>
      <c r="L43" s="1">
        <f>IF(C43="Significantly increase the number of or access to quality and/or affordable homes",2, IF(C43="Slightly increase the number of or access to quality and/or affordable homes",1, IF(C43="not applicable/no impact",0, IF(C43="Slightly decrease the number of or access to quality and/or affordable homes", -1, IF(C43="Significantly decrease the number of or access to quality and/or affordable homes", -2, IF(C43="",20,""))))))</f>
        <v>20</v>
      </c>
      <c r="M43" s="72"/>
      <c r="N43" s="4"/>
      <c r="O43" s="4"/>
      <c r="P43" s="4"/>
      <c r="Q43" s="4"/>
    </row>
    <row r="44" spans="1:17" x14ac:dyDescent="0.25">
      <c r="A44" s="72"/>
      <c r="B44" s="4"/>
      <c r="C44" s="4"/>
      <c r="D44" s="4"/>
      <c r="E44" s="4"/>
      <c r="F44" s="4"/>
      <c r="G44" s="4"/>
      <c r="H44" s="4"/>
      <c r="I44" s="4"/>
      <c r="J44" s="4"/>
      <c r="K44" s="4"/>
      <c r="M44" s="72"/>
      <c r="N44" s="4"/>
      <c r="O44" s="4"/>
      <c r="P44" s="4"/>
      <c r="Q44" s="4"/>
    </row>
    <row r="45" spans="1:17" x14ac:dyDescent="0.25">
      <c r="A45" s="72"/>
      <c r="B45" s="5" t="s">
        <v>12</v>
      </c>
      <c r="C45" s="4"/>
      <c r="D45" s="4"/>
      <c r="E45" s="4"/>
      <c r="F45" s="4"/>
      <c r="G45" s="4"/>
      <c r="H45" s="4"/>
      <c r="I45" s="4"/>
      <c r="J45" s="4"/>
      <c r="K45" s="4"/>
      <c r="M45" s="72"/>
      <c r="N45" s="4"/>
      <c r="O45" s="4"/>
      <c r="P45" s="4"/>
      <c r="Q45" s="4"/>
    </row>
    <row r="46" spans="1:17" ht="15.75" customHeight="1" x14ac:dyDescent="0.25">
      <c r="A46" s="72"/>
      <c r="B46" s="86"/>
      <c r="C46" s="244"/>
      <c r="D46" s="245"/>
      <c r="E46" s="245"/>
      <c r="F46" s="245"/>
      <c r="G46" s="246"/>
      <c r="H46" s="86"/>
      <c r="I46" s="86"/>
      <c r="J46" s="4"/>
      <c r="K46" s="4"/>
      <c r="L46" s="59" t="str">
        <f>IF(C46="yes",2,IF(C46="no",1,"0"))</f>
        <v>0</v>
      </c>
      <c r="M46" s="72"/>
      <c r="N46" s="4"/>
      <c r="O46" s="4"/>
      <c r="P46" s="4"/>
      <c r="Q46" s="4"/>
    </row>
    <row r="47" spans="1:17" ht="8.25" customHeight="1" x14ac:dyDescent="0.25">
      <c r="A47" s="72"/>
      <c r="B47" s="4"/>
      <c r="C47" s="4"/>
      <c r="D47" s="4"/>
      <c r="E47" s="4"/>
      <c r="F47" s="4"/>
      <c r="G47" s="4"/>
      <c r="H47" s="4"/>
      <c r="I47" s="4"/>
      <c r="J47" s="4"/>
      <c r="K47" s="4"/>
      <c r="L47" s="57"/>
      <c r="M47" s="72"/>
      <c r="N47" s="15"/>
      <c r="O47" s="78"/>
      <c r="P47" s="4"/>
      <c r="Q47" s="4"/>
    </row>
    <row r="48" spans="1:17" ht="18.75" customHeight="1" x14ac:dyDescent="0.25">
      <c r="A48" s="72"/>
      <c r="B48" s="118" t="s">
        <v>46</v>
      </c>
      <c r="C48" s="119"/>
      <c r="D48" s="119"/>
      <c r="E48" s="119"/>
      <c r="F48" s="119"/>
      <c r="G48" s="119"/>
      <c r="H48" s="5"/>
      <c r="I48" s="5"/>
      <c r="J48" s="4"/>
      <c r="K48" s="4"/>
      <c r="L48" s="57"/>
      <c r="M48" s="72"/>
      <c r="N48" s="4"/>
      <c r="O48" s="78"/>
      <c r="P48" s="4"/>
      <c r="Q48" s="4"/>
    </row>
    <row r="49" spans="1:17" ht="14.45" customHeight="1" x14ac:dyDescent="0.25">
      <c r="A49" s="72"/>
      <c r="B49" s="4"/>
      <c r="C49" s="247"/>
      <c r="D49" s="248"/>
      <c r="E49" s="248"/>
      <c r="F49" s="248"/>
      <c r="G49" s="249"/>
      <c r="H49" s="4"/>
      <c r="I49" s="4"/>
      <c r="J49" s="4"/>
      <c r="K49" s="4"/>
      <c r="L49" s="59" t="str">
        <f>IF(C49="yes",2,IF(C49="no",1,"0"))</f>
        <v>0</v>
      </c>
      <c r="M49" s="72"/>
      <c r="N49" s="27"/>
      <c r="O49" s="27"/>
      <c r="P49" s="4"/>
      <c r="Q49" s="4"/>
    </row>
    <row r="50" spans="1:17" ht="15" customHeight="1" x14ac:dyDescent="0.25">
      <c r="A50" s="72"/>
      <c r="B50" s="4"/>
      <c r="C50" s="4"/>
      <c r="D50" s="4"/>
      <c r="E50" s="4"/>
      <c r="F50" s="4"/>
      <c r="G50" s="4"/>
      <c r="H50" s="4"/>
      <c r="I50" s="4"/>
      <c r="J50" s="4"/>
      <c r="K50" s="4"/>
      <c r="L50" s="3">
        <f>IF(C43="",20,((L43*L46)*L49))</f>
        <v>20</v>
      </c>
      <c r="M50" s="72"/>
      <c r="N50" s="27"/>
      <c r="O50" s="27"/>
      <c r="P50" s="4"/>
      <c r="Q50" s="4"/>
    </row>
    <row r="51" spans="1:17" x14ac:dyDescent="0.25">
      <c r="A51" s="72"/>
      <c r="B51" s="5" t="s">
        <v>21</v>
      </c>
      <c r="C51" s="5" t="s">
        <v>560</v>
      </c>
      <c r="D51" s="4"/>
      <c r="E51" s="4"/>
      <c r="F51" s="4"/>
      <c r="G51" s="4"/>
      <c r="H51" s="4"/>
      <c r="I51" s="4"/>
      <c r="J51" s="4"/>
      <c r="K51" s="4"/>
      <c r="M51" s="72"/>
      <c r="N51" s="4"/>
      <c r="O51" s="4"/>
      <c r="P51" s="4"/>
      <c r="Q51" s="4"/>
    </row>
    <row r="52" spans="1:17" ht="50.25" customHeight="1" x14ac:dyDescent="0.25">
      <c r="A52" s="72"/>
      <c r="B52" s="4"/>
      <c r="C52" s="269"/>
      <c r="D52" s="269"/>
      <c r="E52" s="269"/>
      <c r="F52" s="269"/>
      <c r="G52" s="269"/>
      <c r="H52" s="4"/>
      <c r="I52" s="4"/>
      <c r="J52" s="4"/>
      <c r="K52" s="4"/>
      <c r="L52" s="19">
        <f>IF(C52="",1,0)</f>
        <v>1</v>
      </c>
      <c r="M52" s="72"/>
      <c r="N52" s="4"/>
      <c r="O52" s="4"/>
      <c r="P52" s="4"/>
      <c r="Q52" s="4"/>
    </row>
    <row r="53" spans="1:17" x14ac:dyDescent="0.25">
      <c r="A53" s="72"/>
      <c r="B53" s="4"/>
      <c r="C53" s="4"/>
      <c r="D53" s="4"/>
      <c r="E53" s="4"/>
      <c r="F53" s="4"/>
      <c r="G53" s="4"/>
      <c r="H53" s="4"/>
      <c r="I53" s="4"/>
      <c r="J53" s="4"/>
      <c r="K53" s="4"/>
      <c r="M53" s="72"/>
      <c r="N53" s="4"/>
      <c r="O53" s="4"/>
      <c r="P53" s="4"/>
      <c r="Q53" s="4"/>
    </row>
    <row r="54" spans="1:17" x14ac:dyDescent="0.25">
      <c r="A54" s="72"/>
      <c r="B54" s="72"/>
      <c r="C54" s="72"/>
      <c r="D54" s="72"/>
      <c r="E54" s="72"/>
      <c r="F54" s="72"/>
      <c r="G54" s="72"/>
      <c r="H54" s="72"/>
      <c r="I54" s="72"/>
      <c r="J54" s="72"/>
      <c r="K54" s="72"/>
      <c r="M54" s="72"/>
      <c r="N54" s="4"/>
      <c r="O54" s="4"/>
      <c r="P54" s="4"/>
      <c r="Q54" s="4"/>
    </row>
    <row r="55" spans="1:17" s="63" customFormat="1" ht="18.75" x14ac:dyDescent="0.3">
      <c r="A55" s="109"/>
      <c r="B55" s="6" t="s">
        <v>47</v>
      </c>
      <c r="C55" s="14"/>
      <c r="D55" s="14"/>
      <c r="E55" s="14"/>
      <c r="F55" s="14"/>
      <c r="G55" s="14"/>
      <c r="H55" s="14"/>
      <c r="I55" s="14"/>
      <c r="J55" s="14"/>
      <c r="K55" s="14"/>
      <c r="L55" s="40"/>
      <c r="M55" s="109"/>
      <c r="N55" s="6"/>
      <c r="O55" s="14"/>
      <c r="P55" s="14"/>
      <c r="Q55" s="14"/>
    </row>
    <row r="56" spans="1:17" ht="111" customHeight="1" x14ac:dyDescent="0.25">
      <c r="A56" s="72"/>
      <c r="B56" s="4"/>
      <c r="C56" s="215" t="s">
        <v>342</v>
      </c>
      <c r="D56" s="215"/>
      <c r="E56" s="215"/>
      <c r="F56" s="215"/>
      <c r="G56" s="215"/>
      <c r="H56" s="215"/>
      <c r="I56" s="215"/>
      <c r="J56" s="27"/>
      <c r="K56" s="4"/>
      <c r="M56" s="72"/>
      <c r="N56" s="27"/>
      <c r="O56" s="27"/>
      <c r="P56" s="4"/>
      <c r="Q56" s="4"/>
    </row>
    <row r="57" spans="1:17" ht="13.5" customHeight="1" x14ac:dyDescent="0.25">
      <c r="A57" s="72"/>
      <c r="B57" s="117"/>
      <c r="C57" s="234" t="s">
        <v>327</v>
      </c>
      <c r="D57" s="234"/>
      <c r="E57" s="235" t="s">
        <v>337</v>
      </c>
      <c r="F57" s="235"/>
      <c r="G57" s="125" t="s">
        <v>328</v>
      </c>
      <c r="H57" s="4"/>
      <c r="I57" s="4"/>
      <c r="J57" s="4"/>
      <c r="K57" s="4"/>
      <c r="M57" s="72"/>
      <c r="N57" s="27"/>
      <c r="O57" s="27"/>
      <c r="P57" s="4"/>
      <c r="Q57" s="4"/>
    </row>
    <row r="58" spans="1:17" x14ac:dyDescent="0.25">
      <c r="A58" s="72"/>
      <c r="B58" s="4"/>
      <c r="C58" s="4"/>
      <c r="D58" s="4"/>
      <c r="E58" s="4"/>
      <c r="F58" s="4"/>
      <c r="G58" s="4"/>
      <c r="H58" s="4"/>
      <c r="I58" s="4"/>
      <c r="J58" s="4"/>
      <c r="K58" s="4"/>
      <c r="M58" s="72"/>
      <c r="N58" s="4"/>
      <c r="O58" s="4"/>
      <c r="P58" s="4"/>
      <c r="Q58" s="4"/>
    </row>
    <row r="59" spans="1:17" x14ac:dyDescent="0.25">
      <c r="A59" s="72"/>
      <c r="B59" s="5" t="s">
        <v>48</v>
      </c>
      <c r="C59" s="5"/>
      <c r="D59" s="5"/>
      <c r="E59" s="5"/>
      <c r="F59" s="5"/>
      <c r="G59" s="5"/>
      <c r="H59" s="5"/>
      <c r="I59" s="5"/>
      <c r="J59" s="4"/>
      <c r="K59" s="4"/>
      <c r="M59" s="72"/>
      <c r="N59" s="4"/>
      <c r="O59" s="4"/>
      <c r="P59" s="4"/>
      <c r="Q59" s="4"/>
    </row>
    <row r="60" spans="1:17" x14ac:dyDescent="0.25">
      <c r="A60" s="72"/>
      <c r="B60" s="4"/>
      <c r="C60" s="247"/>
      <c r="D60" s="248"/>
      <c r="E60" s="248"/>
      <c r="F60" s="248"/>
      <c r="G60" s="249"/>
      <c r="H60" s="4"/>
      <c r="I60" s="4"/>
      <c r="J60" s="4"/>
      <c r="K60" s="4"/>
      <c r="L60" s="1">
        <f>IF(C60="Significantly increase the availability of learning opportunities",2, IF(C60="Slightly increase the availability of learning opportunities",1, IF(C60="not applicable/no impact",0, IF(C60="Slightly decrease the availability of learning opportunities", -1, IF(C60="Significantly decrease the availability of learning opportunities", -2, IF(C60="",20,""))))))</f>
        <v>20</v>
      </c>
      <c r="M60" s="72"/>
      <c r="N60" s="141"/>
      <c r="O60" s="4"/>
      <c r="P60" s="4"/>
      <c r="Q60" s="4"/>
    </row>
    <row r="61" spans="1:17" x14ac:dyDescent="0.25">
      <c r="A61" s="72"/>
      <c r="B61" s="4"/>
      <c r="C61" s="4"/>
      <c r="D61" s="4"/>
      <c r="E61" s="4"/>
      <c r="F61" s="4"/>
      <c r="G61" s="4"/>
      <c r="H61" s="4"/>
      <c r="I61" s="4"/>
      <c r="J61" s="4"/>
      <c r="K61" s="4"/>
      <c r="M61" s="72"/>
      <c r="N61" s="4"/>
      <c r="O61" s="4"/>
      <c r="P61" s="4"/>
      <c r="Q61" s="4"/>
    </row>
    <row r="62" spans="1:17" x14ac:dyDescent="0.25">
      <c r="A62" s="72"/>
      <c r="B62" s="5" t="s">
        <v>12</v>
      </c>
      <c r="C62" s="4"/>
      <c r="D62" s="4"/>
      <c r="E62" s="4"/>
      <c r="F62" s="4"/>
      <c r="G62" s="4"/>
      <c r="H62" s="4"/>
      <c r="I62" s="4"/>
      <c r="J62" s="4"/>
      <c r="K62" s="4"/>
      <c r="M62" s="72"/>
      <c r="N62" s="5"/>
      <c r="O62" s="5"/>
      <c r="P62" s="4"/>
      <c r="Q62" s="4"/>
    </row>
    <row r="63" spans="1:17" x14ac:dyDescent="0.25">
      <c r="A63" s="72"/>
      <c r="B63" s="86"/>
      <c r="C63" s="244"/>
      <c r="D63" s="245"/>
      <c r="E63" s="245"/>
      <c r="F63" s="245"/>
      <c r="G63" s="246"/>
      <c r="H63" s="86"/>
      <c r="I63" s="86"/>
      <c r="J63" s="4"/>
      <c r="K63" s="4"/>
      <c r="L63" s="1" t="str">
        <f>IF(C63="yes",2,IF(C63="no",1,"0"))</f>
        <v>0</v>
      </c>
      <c r="M63" s="72"/>
      <c r="N63" s="4"/>
      <c r="O63" s="4"/>
      <c r="P63" s="4"/>
      <c r="Q63" s="4"/>
    </row>
    <row r="64" spans="1:17" x14ac:dyDescent="0.25">
      <c r="A64" s="72"/>
      <c r="B64" s="4"/>
      <c r="C64" s="4"/>
      <c r="D64" s="4"/>
      <c r="E64" s="4"/>
      <c r="F64" s="4"/>
      <c r="G64" s="4"/>
      <c r="H64" s="4"/>
      <c r="I64" s="4"/>
      <c r="J64" s="4"/>
      <c r="K64" s="4"/>
      <c r="M64" s="72"/>
      <c r="N64" s="4"/>
      <c r="O64" s="4"/>
      <c r="P64" s="4"/>
      <c r="Q64" s="4"/>
    </row>
    <row r="65" spans="1:17" x14ac:dyDescent="0.25">
      <c r="A65" s="72"/>
      <c r="B65" s="118" t="s">
        <v>49</v>
      </c>
      <c r="C65" s="119"/>
      <c r="D65" s="119"/>
      <c r="E65" s="119"/>
      <c r="F65" s="119"/>
      <c r="G65" s="119"/>
      <c r="H65" s="5"/>
      <c r="I65" s="5"/>
      <c r="J65" s="4"/>
      <c r="K65" s="4"/>
      <c r="M65" s="72"/>
      <c r="N65" s="4"/>
      <c r="O65" s="4"/>
      <c r="P65" s="4"/>
      <c r="Q65" s="4"/>
    </row>
    <row r="66" spans="1:17" x14ac:dyDescent="0.25">
      <c r="A66" s="72"/>
      <c r="B66" s="4"/>
      <c r="C66" s="247"/>
      <c r="D66" s="248"/>
      <c r="E66" s="248"/>
      <c r="F66" s="248"/>
      <c r="G66" s="249"/>
      <c r="H66" s="4"/>
      <c r="I66" s="4"/>
      <c r="J66" s="4"/>
      <c r="K66" s="4"/>
      <c r="L66" s="1" t="str">
        <f>IF(C66="yes",2,IF(C66="no",1,"0"))</f>
        <v>0</v>
      </c>
      <c r="M66" s="72"/>
      <c r="N66" s="4"/>
      <c r="O66" s="4"/>
      <c r="P66" s="4"/>
      <c r="Q66" s="4"/>
    </row>
    <row r="67" spans="1:17" x14ac:dyDescent="0.25">
      <c r="A67" s="72"/>
      <c r="B67" s="4"/>
      <c r="C67" s="4"/>
      <c r="D67" s="4"/>
      <c r="E67" s="4"/>
      <c r="F67" s="4"/>
      <c r="G67" s="4"/>
      <c r="H67" s="4"/>
      <c r="I67" s="4"/>
      <c r="J67" s="4"/>
      <c r="K67" s="4"/>
      <c r="L67" s="3">
        <f>IF(C60="",20,((L60*L63)*L66))</f>
        <v>20</v>
      </c>
      <c r="M67" s="72"/>
      <c r="N67" s="4"/>
      <c r="O67" s="4"/>
      <c r="P67" s="4"/>
      <c r="Q67" s="4"/>
    </row>
    <row r="68" spans="1:17" x14ac:dyDescent="0.25">
      <c r="A68" s="72"/>
      <c r="B68" s="5" t="s">
        <v>21</v>
      </c>
      <c r="C68" s="5" t="s">
        <v>560</v>
      </c>
      <c r="D68" s="4"/>
      <c r="E68" s="4"/>
      <c r="F68" s="4"/>
      <c r="G68" s="4"/>
      <c r="H68" s="4"/>
      <c r="I68" s="4"/>
      <c r="J68" s="4"/>
      <c r="K68" s="4"/>
      <c r="M68" s="72"/>
      <c r="N68" s="27"/>
      <c r="O68" s="27"/>
      <c r="P68" s="4"/>
      <c r="Q68" s="4"/>
    </row>
    <row r="69" spans="1:17" ht="49.5" customHeight="1" x14ac:dyDescent="0.25">
      <c r="A69" s="72"/>
      <c r="B69" s="4"/>
      <c r="C69" s="269"/>
      <c r="D69" s="269"/>
      <c r="E69" s="269"/>
      <c r="F69" s="269"/>
      <c r="G69" s="269"/>
      <c r="H69" s="4"/>
      <c r="I69" s="4"/>
      <c r="J69" s="4"/>
      <c r="K69" s="4"/>
      <c r="L69" s="19">
        <f>IF(C69="",1,0)</f>
        <v>1</v>
      </c>
      <c r="M69" s="72"/>
      <c r="N69" s="27"/>
      <c r="O69" s="27"/>
      <c r="P69" s="4"/>
      <c r="Q69" s="4"/>
    </row>
    <row r="70" spans="1:17" x14ac:dyDescent="0.25">
      <c r="A70" s="72"/>
      <c r="B70" s="4"/>
      <c r="C70" s="4"/>
      <c r="D70" s="4"/>
      <c r="E70" s="4"/>
      <c r="F70" s="4"/>
      <c r="G70" s="4"/>
      <c r="H70" s="4"/>
      <c r="I70" s="4"/>
      <c r="J70" s="4"/>
      <c r="K70" s="4"/>
      <c r="M70" s="72"/>
      <c r="N70" s="4"/>
      <c r="O70" s="4"/>
      <c r="P70" s="4"/>
      <c r="Q70" s="4"/>
    </row>
    <row r="71" spans="1:17" ht="17.25" customHeight="1" x14ac:dyDescent="0.25">
      <c r="A71" s="72"/>
      <c r="B71" s="72"/>
      <c r="C71" s="72"/>
      <c r="D71" s="72"/>
      <c r="E71" s="72"/>
      <c r="F71" s="72"/>
      <c r="G71" s="72"/>
      <c r="H71" s="72"/>
      <c r="I71" s="72"/>
      <c r="J71" s="72"/>
      <c r="K71" s="72"/>
      <c r="L71" s="75"/>
      <c r="M71" s="72"/>
      <c r="N71" s="4"/>
      <c r="O71" s="4"/>
      <c r="P71" s="4"/>
      <c r="Q71" s="4"/>
    </row>
    <row r="72" spans="1:17" s="63" customFormat="1" ht="18.75" x14ac:dyDescent="0.3">
      <c r="A72" s="109"/>
      <c r="B72" s="6" t="s">
        <v>50</v>
      </c>
      <c r="C72" s="14"/>
      <c r="D72" s="14"/>
      <c r="E72" s="14"/>
      <c r="F72" s="14"/>
      <c r="G72" s="14"/>
      <c r="H72" s="14"/>
      <c r="I72" s="14"/>
      <c r="J72" s="14"/>
      <c r="K72" s="14"/>
      <c r="L72" s="40"/>
      <c r="M72" s="109"/>
      <c r="N72" s="6"/>
      <c r="O72" s="14"/>
      <c r="P72" s="14"/>
      <c r="Q72" s="14"/>
    </row>
    <row r="73" spans="1:17" s="64" customFormat="1" ht="114" customHeight="1" x14ac:dyDescent="0.25">
      <c r="A73" s="111"/>
      <c r="B73" s="15"/>
      <c r="C73" s="215" t="s">
        <v>376</v>
      </c>
      <c r="D73" s="215"/>
      <c r="E73" s="215"/>
      <c r="F73" s="215"/>
      <c r="G73" s="215"/>
      <c r="H73" s="215"/>
      <c r="I73" s="215"/>
      <c r="J73" s="15"/>
      <c r="K73" s="15"/>
      <c r="M73" s="111"/>
      <c r="N73" s="27"/>
      <c r="O73" s="27"/>
      <c r="P73" s="15"/>
      <c r="Q73" s="15"/>
    </row>
    <row r="74" spans="1:17" x14ac:dyDescent="0.25">
      <c r="A74" s="72"/>
      <c r="B74" s="117"/>
      <c r="C74" s="234" t="s">
        <v>327</v>
      </c>
      <c r="D74" s="234"/>
      <c r="E74" s="235" t="s">
        <v>337</v>
      </c>
      <c r="F74" s="235"/>
      <c r="G74" s="125" t="s">
        <v>328</v>
      </c>
      <c r="H74" s="4"/>
      <c r="I74" s="4"/>
      <c r="J74" s="4"/>
      <c r="K74" s="4"/>
      <c r="M74" s="72"/>
      <c r="N74" s="27"/>
      <c r="O74" s="27"/>
      <c r="P74" s="4"/>
      <c r="Q74" s="4"/>
    </row>
    <row r="75" spans="1:17" ht="15.6" customHeight="1" x14ac:dyDescent="0.25">
      <c r="A75" s="72"/>
      <c r="B75" s="4"/>
      <c r="C75" s="4"/>
      <c r="D75" s="4"/>
      <c r="E75" s="4"/>
      <c r="F75" s="4"/>
      <c r="G75" s="4"/>
      <c r="H75" s="4"/>
      <c r="I75" s="4"/>
      <c r="J75" s="4"/>
      <c r="K75" s="4"/>
      <c r="M75" s="72"/>
      <c r="N75" s="141"/>
      <c r="O75" s="4"/>
      <c r="P75" s="4"/>
      <c r="Q75" s="4"/>
    </row>
    <row r="76" spans="1:17" x14ac:dyDescent="0.25">
      <c r="A76" s="72"/>
      <c r="B76" s="5" t="s">
        <v>51</v>
      </c>
      <c r="C76" s="5"/>
      <c r="D76" s="5"/>
      <c r="E76" s="5"/>
      <c r="F76" s="5"/>
      <c r="G76" s="5"/>
      <c r="H76" s="5"/>
      <c r="I76" s="5"/>
      <c r="J76" s="4"/>
      <c r="K76" s="4"/>
      <c r="M76" s="72"/>
      <c r="N76" s="4"/>
      <c r="O76" s="4"/>
      <c r="P76" s="4"/>
      <c r="Q76" s="4"/>
    </row>
    <row r="77" spans="1:17" ht="15" customHeight="1" x14ac:dyDescent="0.25">
      <c r="A77" s="72"/>
      <c r="B77" s="4"/>
      <c r="C77" s="247"/>
      <c r="D77" s="248"/>
      <c r="E77" s="248"/>
      <c r="F77" s="248"/>
      <c r="G77" s="249"/>
      <c r="H77" s="4"/>
      <c r="I77" s="4"/>
      <c r="J77" s="4"/>
      <c r="K77" s="4"/>
      <c r="L77" s="1">
        <f>IF(C77="Significantly improve facilities, shared spaces, connectivity or resources",2, IF(C77="Slightly improve facilities, shared spaces, connectivity or resources",1, IF(C77="not applicable/no impact",0, IF(C77="Slightly reduce facilities, shared spaces, connectivity or resources", -1, IF(C77="Significantly reduce facilities, shared spaces, connectivity or resources", -2, IF(C77="",20,""))))))</f>
        <v>20</v>
      </c>
      <c r="M77" s="72"/>
      <c r="N77" s="5"/>
      <c r="O77" s="5"/>
      <c r="P77" s="4"/>
      <c r="Q77" s="4"/>
    </row>
    <row r="78" spans="1:17" x14ac:dyDescent="0.25">
      <c r="A78" s="72"/>
      <c r="B78" s="4"/>
      <c r="C78" s="4"/>
      <c r="D78" s="4"/>
      <c r="E78" s="4"/>
      <c r="F78" s="4"/>
      <c r="G78" s="4"/>
      <c r="H78" s="4"/>
      <c r="I78" s="4"/>
      <c r="J78" s="4"/>
      <c r="K78" s="4"/>
      <c r="M78" s="72"/>
      <c r="N78" s="4"/>
      <c r="O78" s="4"/>
      <c r="P78" s="4"/>
      <c r="Q78" s="4"/>
    </row>
    <row r="79" spans="1:17" x14ac:dyDescent="0.25">
      <c r="A79" s="72"/>
      <c r="B79" s="5" t="s">
        <v>12</v>
      </c>
      <c r="C79" s="4"/>
      <c r="D79" s="4"/>
      <c r="E79" s="4"/>
      <c r="F79" s="4"/>
      <c r="G79" s="4"/>
      <c r="H79" s="4"/>
      <c r="I79" s="4"/>
      <c r="J79" s="4"/>
      <c r="K79" s="4"/>
      <c r="M79" s="72"/>
      <c r="N79" s="4"/>
      <c r="O79" s="4"/>
      <c r="P79" s="4"/>
      <c r="Q79" s="4"/>
    </row>
    <row r="80" spans="1:17" x14ac:dyDescent="0.25">
      <c r="A80" s="72"/>
      <c r="B80" s="86"/>
      <c r="C80" s="244"/>
      <c r="D80" s="245"/>
      <c r="E80" s="245"/>
      <c r="F80" s="245"/>
      <c r="G80" s="246"/>
      <c r="H80" s="86"/>
      <c r="I80" s="86"/>
      <c r="J80" s="4"/>
      <c r="K80" s="4"/>
      <c r="L80" s="59" t="str">
        <f>IF(C80="yes",2,IF(C80="no",1,"0"))</f>
        <v>0</v>
      </c>
      <c r="M80" s="72"/>
      <c r="N80" s="4"/>
      <c r="O80" s="4"/>
      <c r="P80" s="4"/>
      <c r="Q80" s="4"/>
    </row>
    <row r="81" spans="1:17" x14ac:dyDescent="0.25">
      <c r="A81" s="72"/>
      <c r="B81" s="4"/>
      <c r="C81" s="4"/>
      <c r="D81" s="4"/>
      <c r="E81" s="4"/>
      <c r="F81" s="4"/>
      <c r="G81" s="4"/>
      <c r="H81" s="4"/>
      <c r="I81" s="4"/>
      <c r="J81" s="4"/>
      <c r="K81" s="4"/>
      <c r="M81" s="72"/>
      <c r="N81" s="4"/>
      <c r="O81" s="4"/>
      <c r="P81" s="4"/>
      <c r="Q81" s="4"/>
    </row>
    <row r="82" spans="1:17" x14ac:dyDescent="0.25">
      <c r="A82" s="72"/>
      <c r="B82" s="118" t="s">
        <v>52</v>
      </c>
      <c r="C82" s="119"/>
      <c r="D82" s="119"/>
      <c r="E82" s="119"/>
      <c r="F82" s="119"/>
      <c r="G82" s="119"/>
      <c r="H82" s="5"/>
      <c r="I82" s="5"/>
      <c r="J82" s="4"/>
      <c r="K82" s="4"/>
      <c r="M82" s="72"/>
      <c r="N82" s="4"/>
      <c r="O82" s="4"/>
      <c r="P82" s="4"/>
      <c r="Q82" s="4"/>
    </row>
    <row r="83" spans="1:17" x14ac:dyDescent="0.25">
      <c r="A83" s="72"/>
      <c r="B83" s="4"/>
      <c r="C83" s="247"/>
      <c r="D83" s="248"/>
      <c r="E83" s="248"/>
      <c r="F83" s="248"/>
      <c r="G83" s="249"/>
      <c r="H83" s="4"/>
      <c r="I83" s="4"/>
      <c r="J83" s="4"/>
      <c r="K83" s="4"/>
      <c r="L83" s="59" t="str">
        <f>IF(C83="yes",2,IF(C83="no",1,"0"))</f>
        <v>0</v>
      </c>
      <c r="M83" s="72"/>
      <c r="N83" s="4"/>
      <c r="O83" s="4"/>
      <c r="P83" s="4"/>
      <c r="Q83" s="4"/>
    </row>
    <row r="84" spans="1:17" x14ac:dyDescent="0.25">
      <c r="A84" s="72"/>
      <c r="B84" s="4"/>
      <c r="C84" s="4"/>
      <c r="D84" s="4"/>
      <c r="E84" s="4"/>
      <c r="F84" s="4"/>
      <c r="G84" s="4"/>
      <c r="H84" s="4"/>
      <c r="I84" s="4"/>
      <c r="J84" s="4"/>
      <c r="K84" s="4"/>
      <c r="L84" s="3">
        <f>IF(C77="",20,((L77*L80)*L83))</f>
        <v>20</v>
      </c>
      <c r="M84" s="72"/>
      <c r="N84" s="27"/>
      <c r="O84" s="27"/>
      <c r="P84" s="4"/>
      <c r="Q84" s="4"/>
    </row>
    <row r="85" spans="1:17" x14ac:dyDescent="0.25">
      <c r="A85" s="72"/>
      <c r="B85" s="5" t="s">
        <v>21</v>
      </c>
      <c r="C85" s="5" t="s">
        <v>560</v>
      </c>
      <c r="D85" s="4"/>
      <c r="E85" s="4"/>
      <c r="F85" s="4"/>
      <c r="G85" s="4"/>
      <c r="H85" s="4"/>
      <c r="I85" s="4"/>
      <c r="J85" s="4"/>
      <c r="K85" s="4"/>
      <c r="M85" s="72"/>
      <c r="N85" s="27"/>
      <c r="O85" s="27"/>
      <c r="P85" s="4"/>
      <c r="Q85" s="4"/>
    </row>
    <row r="86" spans="1:17" ht="36" customHeight="1" x14ac:dyDescent="0.25">
      <c r="A86" s="72"/>
      <c r="B86" s="4"/>
      <c r="C86" s="269"/>
      <c r="D86" s="269"/>
      <c r="E86" s="269"/>
      <c r="F86" s="269"/>
      <c r="G86" s="269"/>
      <c r="H86" s="4"/>
      <c r="I86" s="4"/>
      <c r="J86" s="4"/>
      <c r="K86" s="4"/>
      <c r="L86" s="19">
        <f>IF(C86="",1,0)</f>
        <v>1</v>
      </c>
      <c r="M86" s="72"/>
      <c r="N86" s="4"/>
      <c r="O86" s="4"/>
      <c r="P86" s="4"/>
      <c r="Q86" s="4"/>
    </row>
    <row r="87" spans="1:17" x14ac:dyDescent="0.25">
      <c r="A87" s="72"/>
      <c r="B87" s="4"/>
      <c r="C87" s="4"/>
      <c r="D87" s="4"/>
      <c r="E87" s="4"/>
      <c r="F87" s="4"/>
      <c r="G87" s="4"/>
      <c r="H87" s="4"/>
      <c r="I87" s="4"/>
      <c r="J87" s="4"/>
      <c r="K87" s="4"/>
      <c r="M87" s="72"/>
      <c r="N87" s="4"/>
      <c r="O87" s="4"/>
      <c r="P87" s="4"/>
      <c r="Q87" s="4"/>
    </row>
    <row r="88" spans="1:17" x14ac:dyDescent="0.25">
      <c r="A88" s="72"/>
      <c r="B88" s="72"/>
      <c r="C88" s="72"/>
      <c r="D88" s="72"/>
      <c r="E88" s="72"/>
      <c r="F88" s="72"/>
      <c r="G88" s="72"/>
      <c r="H88" s="72"/>
      <c r="I88" s="72"/>
      <c r="J88" s="72"/>
      <c r="K88" s="72"/>
      <c r="L88" s="75"/>
      <c r="M88" s="72"/>
      <c r="N88" s="4"/>
      <c r="O88" s="4"/>
      <c r="P88" s="4"/>
      <c r="Q88" s="4"/>
    </row>
    <row r="89" spans="1:17" s="63" customFormat="1" ht="18.75" x14ac:dyDescent="0.3">
      <c r="A89" s="109"/>
      <c r="B89" s="6" t="s">
        <v>53</v>
      </c>
      <c r="C89" s="14"/>
      <c r="D89" s="14"/>
      <c r="E89" s="14"/>
      <c r="F89" s="14"/>
      <c r="G89" s="14"/>
      <c r="H89" s="14"/>
      <c r="I89" s="14"/>
      <c r="J89" s="14"/>
      <c r="K89" s="14"/>
      <c r="L89" s="40"/>
      <c r="M89" s="109"/>
      <c r="N89" s="6"/>
      <c r="O89" s="14"/>
      <c r="P89" s="14"/>
      <c r="Q89" s="14"/>
    </row>
    <row r="90" spans="1:17" s="64" customFormat="1" ht="114.75" customHeight="1" x14ac:dyDescent="0.25">
      <c r="A90" s="111"/>
      <c r="B90" s="15"/>
      <c r="C90" s="215" t="s">
        <v>345</v>
      </c>
      <c r="D90" s="215"/>
      <c r="E90" s="215"/>
      <c r="F90" s="215"/>
      <c r="G90" s="215"/>
      <c r="H90" s="215"/>
      <c r="I90" s="215"/>
      <c r="J90" s="15"/>
      <c r="K90" s="15"/>
      <c r="M90" s="111"/>
      <c r="N90" s="27"/>
      <c r="O90" s="27"/>
      <c r="P90" s="15"/>
      <c r="Q90" s="15"/>
    </row>
    <row r="91" spans="1:17" x14ac:dyDescent="0.25">
      <c r="A91" s="72"/>
      <c r="B91" s="117"/>
      <c r="C91" s="234" t="s">
        <v>296</v>
      </c>
      <c r="D91" s="234"/>
      <c r="E91" s="235" t="s">
        <v>337</v>
      </c>
      <c r="F91" s="235"/>
      <c r="G91" s="125" t="s">
        <v>328</v>
      </c>
      <c r="H91" s="4"/>
      <c r="I91" s="4"/>
      <c r="J91" s="4"/>
      <c r="K91" s="4"/>
      <c r="M91" s="72"/>
      <c r="N91" s="27"/>
      <c r="O91" s="27"/>
      <c r="P91" s="4"/>
      <c r="Q91" s="4"/>
    </row>
    <row r="92" spans="1:17" x14ac:dyDescent="0.25">
      <c r="A92" s="72"/>
      <c r="B92" s="4"/>
      <c r="C92" s="4"/>
      <c r="D92" s="4"/>
      <c r="E92" s="4"/>
      <c r="F92" s="4"/>
      <c r="G92" s="4"/>
      <c r="H92" s="4"/>
      <c r="I92" s="4"/>
      <c r="J92" s="4"/>
      <c r="K92" s="4"/>
      <c r="M92" s="72"/>
      <c r="N92" s="27"/>
      <c r="O92" s="27"/>
      <c r="P92" s="4"/>
      <c r="Q92" s="4"/>
    </row>
    <row r="93" spans="1:17" x14ac:dyDescent="0.25">
      <c r="A93" s="72"/>
      <c r="B93" s="5" t="s">
        <v>54</v>
      </c>
      <c r="C93" s="5"/>
      <c r="D93" s="5"/>
      <c r="E93" s="5"/>
      <c r="F93" s="5"/>
      <c r="G93" s="5"/>
      <c r="H93" s="5"/>
      <c r="I93" s="5"/>
      <c r="J93" s="4"/>
      <c r="K93" s="4"/>
      <c r="M93" s="72"/>
      <c r="N93" s="4"/>
      <c r="O93" s="4"/>
      <c r="P93" s="4"/>
      <c r="Q93" s="4"/>
    </row>
    <row r="94" spans="1:17" x14ac:dyDescent="0.25">
      <c r="A94" s="72"/>
      <c r="B94" s="4"/>
      <c r="C94" s="247"/>
      <c r="D94" s="248"/>
      <c r="E94" s="248"/>
      <c r="F94" s="248"/>
      <c r="G94" s="249"/>
      <c r="H94" s="4"/>
      <c r="I94" s="4"/>
      <c r="J94" s="4"/>
      <c r="K94" s="4"/>
      <c r="L94" s="1">
        <f>IF(C94="Significantly increase social or cultural resources or support",2, IF(C94="Slightly increase social or cultural resources or support",1, IF(C94="not applicable/no impact",0, IF(C94="Slightly reduce social or cultural resources or support", -1, IF(C94="Significantly reduce social or cultural resources or support", -2, IF(C94="",20, ""))))))</f>
        <v>20</v>
      </c>
      <c r="M94" s="72"/>
      <c r="N94" s="141"/>
      <c r="O94" s="4"/>
      <c r="P94" s="4"/>
      <c r="Q94" s="4"/>
    </row>
    <row r="95" spans="1:17" x14ac:dyDescent="0.25">
      <c r="A95" s="72"/>
      <c r="B95" s="4"/>
      <c r="C95" s="4"/>
      <c r="D95" s="4"/>
      <c r="E95" s="4"/>
      <c r="F95" s="4"/>
      <c r="G95" s="4"/>
      <c r="H95" s="4"/>
      <c r="I95" s="4"/>
      <c r="J95" s="4"/>
      <c r="K95" s="4"/>
      <c r="M95" s="72"/>
      <c r="N95" s="4"/>
      <c r="O95" s="4"/>
      <c r="P95" s="4"/>
      <c r="Q95" s="4"/>
    </row>
    <row r="96" spans="1:17" x14ac:dyDescent="0.25">
      <c r="A96" s="72"/>
      <c r="B96" s="5" t="s">
        <v>12</v>
      </c>
      <c r="C96" s="4"/>
      <c r="D96" s="4"/>
      <c r="E96" s="4"/>
      <c r="F96" s="4"/>
      <c r="G96" s="4"/>
      <c r="H96" s="4"/>
      <c r="I96" s="4"/>
      <c r="J96" s="4"/>
      <c r="K96" s="4"/>
      <c r="M96" s="72"/>
      <c r="N96" s="5"/>
      <c r="O96" s="5"/>
      <c r="P96" s="4"/>
      <c r="Q96" s="4"/>
    </row>
    <row r="97" spans="1:17" x14ac:dyDescent="0.25">
      <c r="A97" s="72"/>
      <c r="B97" s="86"/>
      <c r="C97" s="244"/>
      <c r="D97" s="245"/>
      <c r="E97" s="245"/>
      <c r="F97" s="245"/>
      <c r="G97" s="246"/>
      <c r="H97" s="86"/>
      <c r="I97" s="86"/>
      <c r="J97" s="4"/>
      <c r="K97" s="4"/>
      <c r="L97" s="59" t="str">
        <f>IF(C97="yes",2,IF(C97="no",1,"0"))</f>
        <v>0</v>
      </c>
      <c r="M97" s="72"/>
      <c r="N97" s="4"/>
      <c r="O97" s="4"/>
      <c r="P97" s="4"/>
      <c r="Q97" s="4"/>
    </row>
    <row r="98" spans="1:17" x14ac:dyDescent="0.25">
      <c r="A98" s="72"/>
      <c r="B98" s="4"/>
      <c r="C98" s="4"/>
      <c r="D98" s="4"/>
      <c r="E98" s="4"/>
      <c r="F98" s="4"/>
      <c r="G98" s="4"/>
      <c r="H98" s="4"/>
      <c r="I98" s="4"/>
      <c r="J98" s="4"/>
      <c r="K98" s="4"/>
      <c r="L98" s="57"/>
      <c r="M98" s="72"/>
      <c r="N98" s="4"/>
      <c r="O98" s="4"/>
      <c r="P98" s="4"/>
      <c r="Q98" s="4"/>
    </row>
    <row r="99" spans="1:17" x14ac:dyDescent="0.25">
      <c r="A99" s="72"/>
      <c r="B99" s="118" t="s">
        <v>55</v>
      </c>
      <c r="C99" s="119"/>
      <c r="D99" s="119"/>
      <c r="E99" s="119"/>
      <c r="F99" s="119"/>
      <c r="G99" s="119"/>
      <c r="H99" s="5"/>
      <c r="I99" s="5"/>
      <c r="J99" s="4"/>
      <c r="K99" s="4"/>
      <c r="L99" s="57"/>
      <c r="M99" s="72"/>
      <c r="N99" s="4"/>
      <c r="O99" s="4"/>
      <c r="P99" s="4"/>
      <c r="Q99" s="4"/>
    </row>
    <row r="100" spans="1:17" x14ac:dyDescent="0.25">
      <c r="A100" s="72"/>
      <c r="B100" s="4"/>
      <c r="C100" s="247"/>
      <c r="D100" s="248"/>
      <c r="E100" s="248"/>
      <c r="F100" s="248"/>
      <c r="G100" s="249"/>
      <c r="H100" s="4"/>
      <c r="I100" s="4"/>
      <c r="J100" s="4"/>
      <c r="K100" s="4"/>
      <c r="L100" s="59" t="str">
        <f>IF(C100="yes",2,IF(C100="no",1,"0"))</f>
        <v>0</v>
      </c>
      <c r="M100" s="72"/>
      <c r="N100" s="4"/>
      <c r="O100" s="4"/>
      <c r="P100" s="4"/>
      <c r="Q100" s="4"/>
    </row>
    <row r="101" spans="1:17" x14ac:dyDescent="0.25">
      <c r="A101" s="72"/>
      <c r="B101" s="4"/>
      <c r="C101" s="4"/>
      <c r="D101" s="4"/>
      <c r="E101" s="4"/>
      <c r="F101" s="4"/>
      <c r="G101" s="4"/>
      <c r="H101" s="4"/>
      <c r="I101" s="4"/>
      <c r="J101" s="4"/>
      <c r="K101" s="4"/>
      <c r="L101" s="3">
        <f>IF(C94="",20,((L94*L97)*L100))</f>
        <v>20</v>
      </c>
      <c r="M101" s="72"/>
      <c r="N101" s="4"/>
      <c r="O101" s="4"/>
      <c r="P101" s="4"/>
      <c r="Q101" s="4"/>
    </row>
    <row r="102" spans="1:17" x14ac:dyDescent="0.25">
      <c r="A102" s="72"/>
      <c r="B102" s="5" t="s">
        <v>21</v>
      </c>
      <c r="C102" s="5" t="s">
        <v>560</v>
      </c>
      <c r="D102" s="4"/>
      <c r="E102" s="4"/>
      <c r="F102" s="4"/>
      <c r="G102" s="4"/>
      <c r="H102" s="4"/>
      <c r="I102" s="4"/>
      <c r="J102" s="4"/>
      <c r="K102" s="4"/>
      <c r="M102" s="72"/>
      <c r="N102" s="27"/>
      <c r="O102" s="27"/>
      <c r="P102" s="4"/>
      <c r="Q102" s="4"/>
    </row>
    <row r="103" spans="1:17" ht="45.75" customHeight="1" x14ac:dyDescent="0.25">
      <c r="A103" s="72"/>
      <c r="B103" s="4"/>
      <c r="C103" s="269"/>
      <c r="D103" s="269"/>
      <c r="E103" s="269"/>
      <c r="F103" s="269"/>
      <c r="G103" s="269"/>
      <c r="H103" s="4"/>
      <c r="I103" s="4"/>
      <c r="J103" s="4"/>
      <c r="K103" s="4"/>
      <c r="L103" s="19">
        <f>IF(C103="",1,0)</f>
        <v>1</v>
      </c>
      <c r="M103" s="72"/>
      <c r="N103" s="27"/>
      <c r="O103" s="27"/>
      <c r="P103" s="4"/>
      <c r="Q103" s="4"/>
    </row>
    <row r="104" spans="1:17" x14ac:dyDescent="0.25">
      <c r="A104" s="72"/>
      <c r="B104" s="4"/>
      <c r="C104" s="4"/>
      <c r="D104" s="4"/>
      <c r="E104" s="4"/>
      <c r="F104" s="4"/>
      <c r="G104" s="4"/>
      <c r="H104" s="4"/>
      <c r="I104" s="4"/>
      <c r="J104" s="4"/>
      <c r="K104" s="4"/>
      <c r="M104" s="72"/>
      <c r="N104" s="4"/>
      <c r="O104" s="4"/>
      <c r="P104" s="4"/>
      <c r="Q104" s="4"/>
    </row>
    <row r="105" spans="1:17" ht="14.25" customHeight="1" x14ac:dyDescent="0.25">
      <c r="A105" s="72"/>
      <c r="B105" s="72"/>
      <c r="C105" s="72"/>
      <c r="D105" s="72"/>
      <c r="E105" s="72"/>
      <c r="F105" s="72"/>
      <c r="G105" s="72"/>
      <c r="H105" s="72"/>
      <c r="I105" s="72"/>
      <c r="J105" s="72"/>
      <c r="K105" s="72"/>
      <c r="L105" s="72"/>
      <c r="M105" s="72"/>
      <c r="N105" s="4"/>
      <c r="O105" s="4"/>
      <c r="P105" s="4"/>
      <c r="Q105" s="4"/>
    </row>
    <row r="106" spans="1:17" s="63" customFormat="1" ht="18.75" x14ac:dyDescent="0.3">
      <c r="A106" s="109"/>
      <c r="B106" s="6" t="s">
        <v>56</v>
      </c>
      <c r="C106" s="14"/>
      <c r="D106" s="14"/>
      <c r="E106" s="14"/>
      <c r="F106" s="14"/>
      <c r="G106" s="14"/>
      <c r="H106" s="14"/>
      <c r="I106" s="14"/>
      <c r="J106" s="14"/>
      <c r="K106" s="14"/>
      <c r="L106" s="40"/>
      <c r="M106" s="109"/>
      <c r="N106" s="6"/>
      <c r="O106" s="14"/>
      <c r="P106" s="14"/>
      <c r="Q106" s="14"/>
    </row>
    <row r="107" spans="1:17" ht="102.75" customHeight="1" x14ac:dyDescent="0.25">
      <c r="A107" s="72"/>
      <c r="B107" s="4"/>
      <c r="C107" s="215" t="s">
        <v>57</v>
      </c>
      <c r="D107" s="215"/>
      <c r="E107" s="215"/>
      <c r="F107" s="215"/>
      <c r="G107" s="215"/>
      <c r="H107" s="215"/>
      <c r="I107" s="215"/>
      <c r="J107" s="4"/>
      <c r="K107" s="4"/>
      <c r="M107" s="72"/>
      <c r="N107" s="27"/>
      <c r="O107" s="27"/>
      <c r="P107" s="4"/>
      <c r="Q107" s="4"/>
    </row>
    <row r="108" spans="1:17" x14ac:dyDescent="0.25">
      <c r="A108" s="72"/>
      <c r="B108" s="117"/>
      <c r="C108" s="234" t="s">
        <v>296</v>
      </c>
      <c r="D108" s="234"/>
      <c r="E108" s="235" t="s">
        <v>337</v>
      </c>
      <c r="F108" s="235"/>
      <c r="G108" s="125" t="s">
        <v>328</v>
      </c>
      <c r="H108" s="4"/>
      <c r="I108" s="4"/>
      <c r="J108" s="4"/>
      <c r="K108" s="4"/>
      <c r="M108" s="72"/>
      <c r="N108" s="141"/>
      <c r="O108" s="4"/>
      <c r="P108" s="4"/>
      <c r="Q108" s="4"/>
    </row>
    <row r="109" spans="1:17" x14ac:dyDescent="0.25">
      <c r="A109" s="72"/>
      <c r="B109" s="4"/>
      <c r="C109" s="4"/>
      <c r="D109" s="4"/>
      <c r="E109" s="4"/>
      <c r="F109" s="4"/>
      <c r="G109" s="4"/>
      <c r="H109" s="4"/>
      <c r="I109" s="4"/>
      <c r="J109" s="4"/>
      <c r="K109" s="4"/>
      <c r="M109" s="72"/>
      <c r="N109" s="4"/>
      <c r="O109" s="4"/>
      <c r="P109" s="4"/>
      <c r="Q109" s="4"/>
    </row>
    <row r="110" spans="1:17" x14ac:dyDescent="0.25">
      <c r="A110" s="72"/>
      <c r="B110" s="5" t="s">
        <v>58</v>
      </c>
      <c r="C110" s="5"/>
      <c r="D110" s="5"/>
      <c r="E110" s="5"/>
      <c r="F110" s="5"/>
      <c r="G110" s="5"/>
      <c r="H110" s="5"/>
      <c r="I110" s="5"/>
      <c r="J110" s="4"/>
      <c r="K110" s="4"/>
      <c r="M110" s="72"/>
      <c r="N110" s="5"/>
      <c r="O110" s="5"/>
      <c r="P110" s="4"/>
      <c r="Q110" s="4"/>
    </row>
    <row r="111" spans="1:17" x14ac:dyDescent="0.25">
      <c r="A111" s="72"/>
      <c r="B111" s="4"/>
      <c r="C111" s="247"/>
      <c r="D111" s="248"/>
      <c r="E111" s="248"/>
      <c r="F111" s="248"/>
      <c r="G111" s="249"/>
      <c r="H111" s="4"/>
      <c r="I111" s="4"/>
      <c r="J111" s="4"/>
      <c r="K111" s="4"/>
      <c r="L111" s="1">
        <f>IF(C111="Actively reduces barriers to increase access",2, IF(C111="Presents no barriers to access",1, IF(C111="not applicable/no impact",0, IF(C111="Risk of some barriers to access", -1, IF(C111="Presents barriers to access in one or more areas", -2, IF(C111="",20, ""))))))</f>
        <v>20</v>
      </c>
      <c r="M111" s="72"/>
      <c r="N111" s="4"/>
      <c r="O111" s="4"/>
      <c r="P111" s="4"/>
      <c r="Q111" s="4"/>
    </row>
    <row r="112" spans="1:17" x14ac:dyDescent="0.25">
      <c r="A112" s="72"/>
      <c r="B112" s="4"/>
      <c r="C112" s="4"/>
      <c r="D112" s="4"/>
      <c r="E112" s="4"/>
      <c r="F112" s="4"/>
      <c r="G112" s="4"/>
      <c r="H112" s="4"/>
      <c r="I112" s="4"/>
      <c r="J112" s="4"/>
      <c r="K112" s="4"/>
      <c r="M112" s="72"/>
      <c r="N112" s="4"/>
      <c r="O112" s="4"/>
      <c r="P112" s="4"/>
      <c r="Q112" s="4"/>
    </row>
    <row r="113" spans="1:17" x14ac:dyDescent="0.25">
      <c r="A113" s="72"/>
      <c r="B113" s="5" t="s">
        <v>12</v>
      </c>
      <c r="C113" s="4"/>
      <c r="D113" s="4"/>
      <c r="E113" s="4"/>
      <c r="F113" s="4"/>
      <c r="G113" s="4"/>
      <c r="H113" s="4"/>
      <c r="I113" s="4"/>
      <c r="J113" s="4"/>
      <c r="K113" s="4"/>
      <c r="M113" s="72"/>
      <c r="N113" s="4"/>
      <c r="O113" s="4"/>
      <c r="P113" s="4"/>
      <c r="Q113" s="4"/>
    </row>
    <row r="114" spans="1:17" x14ac:dyDescent="0.25">
      <c r="A114" s="72"/>
      <c r="B114" s="86"/>
      <c r="C114" s="244"/>
      <c r="D114" s="245"/>
      <c r="E114" s="245"/>
      <c r="F114" s="245"/>
      <c r="G114" s="246"/>
      <c r="H114" s="86"/>
      <c r="I114" s="86"/>
      <c r="J114" s="4"/>
      <c r="K114" s="4"/>
      <c r="L114" s="59" t="str">
        <f>IF(C114="yes",2,IF(C114="no",1,"0"))</f>
        <v>0</v>
      </c>
      <c r="M114" s="72"/>
      <c r="N114" s="4"/>
      <c r="O114" s="4"/>
      <c r="P114" s="4"/>
      <c r="Q114" s="4"/>
    </row>
    <row r="115" spans="1:17" x14ac:dyDescent="0.25">
      <c r="A115" s="72"/>
      <c r="B115" s="4"/>
      <c r="C115" s="4"/>
      <c r="D115" s="4"/>
      <c r="E115" s="4"/>
      <c r="F115" s="4"/>
      <c r="G115" s="4"/>
      <c r="H115" s="4"/>
      <c r="I115" s="4"/>
      <c r="J115" s="4"/>
      <c r="K115" s="4"/>
      <c r="L115" s="57"/>
      <c r="M115" s="72"/>
      <c r="N115" s="4"/>
      <c r="O115" s="4"/>
      <c r="P115" s="4"/>
      <c r="Q115" s="4"/>
    </row>
    <row r="116" spans="1:17" x14ac:dyDescent="0.25">
      <c r="A116" s="72"/>
      <c r="B116" s="118" t="s">
        <v>60</v>
      </c>
      <c r="C116" s="119"/>
      <c r="D116" s="119"/>
      <c r="E116" s="119"/>
      <c r="F116" s="119"/>
      <c r="G116" s="119"/>
      <c r="H116" s="5"/>
      <c r="I116" s="5"/>
      <c r="J116" s="4"/>
      <c r="K116" s="4"/>
      <c r="L116" s="57"/>
      <c r="M116" s="72"/>
      <c r="N116" s="4"/>
      <c r="O116" s="4"/>
      <c r="P116" s="4"/>
      <c r="Q116" s="4"/>
    </row>
    <row r="117" spans="1:17" x14ac:dyDescent="0.25">
      <c r="A117" s="72"/>
      <c r="B117" s="4"/>
      <c r="C117" s="247"/>
      <c r="D117" s="248"/>
      <c r="E117" s="248"/>
      <c r="F117" s="248"/>
      <c r="G117" s="249"/>
      <c r="H117" s="4"/>
      <c r="I117" s="4"/>
      <c r="J117" s="4"/>
      <c r="K117" s="4"/>
      <c r="L117" s="59" t="str">
        <f>IF(C117="yes",2,IF(C117="no",1,"0"))</f>
        <v>0</v>
      </c>
      <c r="M117" s="72"/>
      <c r="N117" s="4"/>
      <c r="O117" s="4"/>
      <c r="P117" s="4"/>
      <c r="Q117" s="4"/>
    </row>
    <row r="118" spans="1:17" x14ac:dyDescent="0.25">
      <c r="A118" s="72"/>
      <c r="B118" s="4"/>
      <c r="C118" s="4"/>
      <c r="D118" s="4"/>
      <c r="E118" s="4"/>
      <c r="F118" s="4"/>
      <c r="G118" s="4"/>
      <c r="H118" s="4"/>
      <c r="I118" s="4"/>
      <c r="J118" s="4"/>
      <c r="K118" s="4"/>
      <c r="L118" s="3">
        <f>IF(C111="",20,((L111*L114)*L117))</f>
        <v>20</v>
      </c>
      <c r="M118" s="72"/>
      <c r="N118" s="27"/>
      <c r="O118" s="27"/>
      <c r="P118" s="4"/>
      <c r="Q118" s="4"/>
    </row>
    <row r="119" spans="1:17" x14ac:dyDescent="0.25">
      <c r="A119" s="72"/>
      <c r="B119" s="5" t="s">
        <v>21</v>
      </c>
      <c r="C119" s="5" t="s">
        <v>560</v>
      </c>
      <c r="D119" s="4"/>
      <c r="E119" s="4"/>
      <c r="F119" s="4"/>
      <c r="G119" s="4"/>
      <c r="H119" s="4"/>
      <c r="I119" s="4"/>
      <c r="J119" s="4"/>
      <c r="K119" s="4"/>
      <c r="M119" s="72"/>
      <c r="N119" s="27"/>
      <c r="O119" s="27"/>
      <c r="P119" s="4"/>
      <c r="Q119" s="4"/>
    </row>
    <row r="120" spans="1:17" ht="34.5" customHeight="1" x14ac:dyDescent="0.25">
      <c r="A120" s="72"/>
      <c r="B120" s="4"/>
      <c r="C120" s="269"/>
      <c r="D120" s="269"/>
      <c r="E120" s="269"/>
      <c r="F120" s="269"/>
      <c r="G120" s="269"/>
      <c r="H120" s="4"/>
      <c r="I120" s="4"/>
      <c r="J120" s="4"/>
      <c r="K120" s="4"/>
      <c r="L120" s="19">
        <f>IF(C120="",1,0)</f>
        <v>1</v>
      </c>
      <c r="M120" s="72"/>
      <c r="N120" s="4"/>
      <c r="O120" s="4"/>
      <c r="P120" s="4"/>
      <c r="Q120" s="4"/>
    </row>
    <row r="121" spans="1:17" ht="16.5" customHeight="1" x14ac:dyDescent="0.25">
      <c r="A121" s="72"/>
      <c r="B121" s="4"/>
      <c r="C121" s="4"/>
      <c r="D121" s="4"/>
      <c r="E121" s="4"/>
      <c r="F121" s="4"/>
      <c r="G121" s="4"/>
      <c r="H121" s="4"/>
      <c r="I121" s="4"/>
      <c r="J121" s="4"/>
      <c r="K121" s="4"/>
      <c r="M121" s="72"/>
      <c r="N121" s="4"/>
      <c r="O121" s="4"/>
      <c r="P121" s="4"/>
      <c r="Q121" s="4"/>
    </row>
    <row r="122" spans="1:17" ht="16.5" customHeight="1" x14ac:dyDescent="0.25">
      <c r="A122" s="72"/>
      <c r="B122" s="72"/>
      <c r="C122" s="72"/>
      <c r="D122" s="72"/>
      <c r="E122" s="72"/>
      <c r="F122" s="72"/>
      <c r="G122" s="72"/>
      <c r="H122" s="72"/>
      <c r="I122" s="72"/>
      <c r="J122" s="72"/>
      <c r="K122" s="72"/>
      <c r="L122" s="72"/>
      <c r="M122" s="72"/>
      <c r="N122" s="4"/>
      <c r="O122" s="4"/>
      <c r="P122" s="4"/>
      <c r="Q122" s="4"/>
    </row>
    <row r="123" spans="1:17" s="63" customFormat="1" ht="18" customHeight="1" x14ac:dyDescent="0.3">
      <c r="A123" s="109"/>
      <c r="B123" s="6" t="s">
        <v>61</v>
      </c>
      <c r="C123" s="14"/>
      <c r="D123" s="14"/>
      <c r="E123" s="14"/>
      <c r="F123" s="14"/>
      <c r="G123" s="14"/>
      <c r="H123" s="14"/>
      <c r="I123" s="14"/>
      <c r="J123" s="14"/>
      <c r="K123" s="14"/>
      <c r="L123" s="40"/>
      <c r="M123" s="109"/>
      <c r="N123" s="6"/>
      <c r="O123" s="14"/>
      <c r="P123" s="14"/>
      <c r="Q123" s="14"/>
    </row>
    <row r="124" spans="1:17" s="64" customFormat="1" ht="113.25" customHeight="1" x14ac:dyDescent="0.25">
      <c r="A124" s="111"/>
      <c r="B124" s="15"/>
      <c r="C124" s="215" t="s">
        <v>346</v>
      </c>
      <c r="D124" s="215"/>
      <c r="E124" s="215"/>
      <c r="F124" s="215"/>
      <c r="G124" s="215"/>
      <c r="H124" s="215"/>
      <c r="I124" s="215"/>
      <c r="J124" s="15"/>
      <c r="K124" s="15"/>
      <c r="M124" s="111"/>
      <c r="N124" s="27"/>
      <c r="O124" s="27"/>
      <c r="P124" s="15"/>
      <c r="Q124" s="15"/>
    </row>
    <row r="125" spans="1:17" x14ac:dyDescent="0.25">
      <c r="A125" s="72"/>
      <c r="B125" s="117"/>
      <c r="C125" s="234" t="s">
        <v>296</v>
      </c>
      <c r="D125" s="234"/>
      <c r="E125" s="235" t="s">
        <v>337</v>
      </c>
      <c r="F125" s="235"/>
      <c r="G125" s="125" t="s">
        <v>328</v>
      </c>
      <c r="H125" s="4"/>
      <c r="I125" s="4"/>
      <c r="J125" s="4"/>
      <c r="K125" s="4"/>
      <c r="M125" s="72"/>
      <c r="N125" s="141"/>
      <c r="O125" s="4"/>
      <c r="P125" s="4"/>
      <c r="Q125" s="4"/>
    </row>
    <row r="126" spans="1:17" x14ac:dyDescent="0.25">
      <c r="A126" s="72"/>
      <c r="B126" s="4"/>
      <c r="C126" s="4"/>
      <c r="D126" s="4"/>
      <c r="E126" s="4"/>
      <c r="F126" s="4"/>
      <c r="G126" s="4"/>
      <c r="H126" s="4"/>
      <c r="I126" s="4"/>
      <c r="J126" s="4"/>
      <c r="K126" s="4"/>
      <c r="M126" s="72"/>
      <c r="N126" s="4"/>
      <c r="O126" s="4"/>
      <c r="P126" s="4"/>
      <c r="Q126" s="4"/>
    </row>
    <row r="127" spans="1:17" x14ac:dyDescent="0.25">
      <c r="A127" s="72"/>
      <c r="B127" s="5" t="s">
        <v>62</v>
      </c>
      <c r="C127" s="5"/>
      <c r="D127" s="5"/>
      <c r="E127" s="5"/>
      <c r="F127" s="5"/>
      <c r="G127" s="5"/>
      <c r="H127" s="5"/>
      <c r="I127" s="5"/>
      <c r="J127" s="4"/>
      <c r="K127" s="4"/>
      <c r="M127" s="72"/>
      <c r="N127" s="5"/>
      <c r="O127" s="5"/>
      <c r="P127" s="4"/>
      <c r="Q127" s="4"/>
    </row>
    <row r="128" spans="1:17" x14ac:dyDescent="0.25">
      <c r="A128" s="72"/>
      <c r="B128" s="4"/>
      <c r="C128" s="247"/>
      <c r="D128" s="248"/>
      <c r="E128" s="248"/>
      <c r="F128" s="248"/>
      <c r="G128" s="249"/>
      <c r="H128" s="4"/>
      <c r="I128" s="4"/>
      <c r="J128" s="4"/>
      <c r="K128" s="4"/>
      <c r="L128" s="1">
        <f>IF(C128="Significant support for the local economy and/or employment",2, IF(C128="Slight support for the local economy and/or employment",1, IF(C128="not applicable/no impact",0, IF(C128="Slightly undermine support for the local economy and/or employment", -1, IF(C128="Significantly undermine support for the local economy and/or employment", -2, IF(C128="",20,""))))))</f>
        <v>20</v>
      </c>
      <c r="M128" s="72"/>
      <c r="N128" s="4"/>
      <c r="O128" s="4"/>
      <c r="P128" s="4"/>
      <c r="Q128" s="4"/>
    </row>
    <row r="129" spans="1:17" x14ac:dyDescent="0.25">
      <c r="A129" s="72"/>
      <c r="B129" s="4"/>
      <c r="C129" s="4"/>
      <c r="D129" s="4"/>
      <c r="E129" s="4"/>
      <c r="F129" s="4"/>
      <c r="G129" s="4"/>
      <c r="H129" s="4"/>
      <c r="I129" s="4"/>
      <c r="J129" s="4"/>
      <c r="K129" s="4"/>
      <c r="M129" s="72"/>
      <c r="N129" s="4"/>
      <c r="O129" s="4"/>
      <c r="P129" s="4"/>
      <c r="Q129" s="4"/>
    </row>
    <row r="130" spans="1:17" x14ac:dyDescent="0.25">
      <c r="A130" s="72"/>
      <c r="B130" s="5" t="s">
        <v>12</v>
      </c>
      <c r="C130" s="4"/>
      <c r="D130" s="4"/>
      <c r="E130" s="4"/>
      <c r="F130" s="4"/>
      <c r="G130" s="4"/>
      <c r="H130" s="4"/>
      <c r="I130" s="4"/>
      <c r="J130" s="4"/>
      <c r="K130" s="4"/>
      <c r="M130" s="72"/>
      <c r="N130" s="4"/>
      <c r="O130" s="4"/>
      <c r="P130" s="4"/>
      <c r="Q130" s="4"/>
    </row>
    <row r="131" spans="1:17" x14ac:dyDescent="0.25">
      <c r="A131" s="72"/>
      <c r="B131" s="86"/>
      <c r="C131" s="244"/>
      <c r="D131" s="245"/>
      <c r="E131" s="245"/>
      <c r="F131" s="245"/>
      <c r="G131" s="246"/>
      <c r="H131" s="86"/>
      <c r="I131" s="86"/>
      <c r="J131" s="4"/>
      <c r="K131" s="4"/>
      <c r="L131" s="59" t="str">
        <f>IF(C131="yes",2,IF(C131="no",1,"0"))</f>
        <v>0</v>
      </c>
      <c r="M131" s="72"/>
      <c r="N131" s="4"/>
      <c r="O131" s="4"/>
      <c r="P131" s="4"/>
      <c r="Q131" s="4"/>
    </row>
    <row r="132" spans="1:17" x14ac:dyDescent="0.25">
      <c r="A132" s="72"/>
      <c r="B132" s="4"/>
      <c r="C132" s="4"/>
      <c r="D132" s="4"/>
      <c r="E132" s="4"/>
      <c r="F132" s="4"/>
      <c r="G132" s="4"/>
      <c r="H132" s="4"/>
      <c r="I132" s="4"/>
      <c r="J132" s="4"/>
      <c r="K132" s="4"/>
      <c r="L132" s="57"/>
      <c r="M132" s="72"/>
      <c r="N132" s="4"/>
      <c r="O132" s="4"/>
      <c r="P132" s="4"/>
      <c r="Q132" s="4"/>
    </row>
    <row r="133" spans="1:17" x14ac:dyDescent="0.25">
      <c r="A133" s="72"/>
      <c r="B133" s="118" t="s">
        <v>64</v>
      </c>
      <c r="C133" s="119"/>
      <c r="D133" s="119"/>
      <c r="E133" s="119"/>
      <c r="F133" s="119"/>
      <c r="G133" s="119"/>
      <c r="H133" s="5"/>
      <c r="I133" s="5"/>
      <c r="J133" s="4"/>
      <c r="K133" s="4"/>
      <c r="L133" s="57"/>
      <c r="M133" s="72"/>
      <c r="N133" s="4"/>
      <c r="O133" s="4"/>
      <c r="P133" s="4"/>
      <c r="Q133" s="4"/>
    </row>
    <row r="134" spans="1:17" x14ac:dyDescent="0.25">
      <c r="A134" s="72"/>
      <c r="B134" s="4"/>
      <c r="C134" s="247"/>
      <c r="D134" s="248"/>
      <c r="E134" s="248"/>
      <c r="F134" s="248"/>
      <c r="G134" s="249"/>
      <c r="H134" s="4"/>
      <c r="I134" s="4"/>
      <c r="J134" s="4"/>
      <c r="K134" s="4"/>
      <c r="L134" s="59" t="str">
        <f>IF(C134="yes",2,IF(C134="no",1,"0"))</f>
        <v>0</v>
      </c>
      <c r="M134" s="72"/>
      <c r="N134" s="4"/>
      <c r="O134" s="4"/>
      <c r="P134" s="4"/>
      <c r="Q134" s="4"/>
    </row>
    <row r="135" spans="1:17" x14ac:dyDescent="0.25">
      <c r="A135" s="72"/>
      <c r="B135" s="4"/>
      <c r="C135" s="4"/>
      <c r="D135" s="4"/>
      <c r="E135" s="4"/>
      <c r="F135" s="4"/>
      <c r="G135" s="4"/>
      <c r="H135" s="4"/>
      <c r="I135" s="4"/>
      <c r="J135" s="4"/>
      <c r="K135" s="4"/>
      <c r="L135" s="3">
        <f>IF(C128="",20,((L128*L131)*L134))</f>
        <v>20</v>
      </c>
      <c r="M135" s="72"/>
      <c r="N135" s="27"/>
      <c r="O135" s="27"/>
      <c r="P135" s="4"/>
      <c r="Q135" s="4"/>
    </row>
    <row r="136" spans="1:17" x14ac:dyDescent="0.25">
      <c r="A136" s="72"/>
      <c r="B136" s="5" t="s">
        <v>21</v>
      </c>
      <c r="C136" s="5" t="s">
        <v>560</v>
      </c>
      <c r="D136" s="4"/>
      <c r="E136" s="4"/>
      <c r="F136" s="4"/>
      <c r="G136" s="4"/>
      <c r="H136" s="4"/>
      <c r="I136" s="4"/>
      <c r="J136" s="4"/>
      <c r="K136" s="4"/>
      <c r="M136" s="72"/>
      <c r="N136" s="27"/>
      <c r="O136" s="27"/>
      <c r="P136" s="4"/>
      <c r="Q136" s="4"/>
    </row>
    <row r="137" spans="1:17" ht="29.1" customHeight="1" x14ac:dyDescent="0.25">
      <c r="A137" s="72"/>
      <c r="B137" s="4"/>
      <c r="C137" s="269"/>
      <c r="D137" s="269"/>
      <c r="E137" s="269"/>
      <c r="F137" s="269"/>
      <c r="G137" s="269"/>
      <c r="H137" s="4"/>
      <c r="I137" s="4"/>
      <c r="J137" s="4"/>
      <c r="K137" s="4"/>
      <c r="L137" s="19">
        <f>IF(C137="",1,0)</f>
        <v>1</v>
      </c>
      <c r="M137" s="72"/>
      <c r="N137" s="4"/>
      <c r="O137" s="4"/>
      <c r="P137" s="4"/>
      <c r="Q137" s="4"/>
    </row>
    <row r="138" spans="1:17" x14ac:dyDescent="0.25">
      <c r="A138" s="72"/>
      <c r="B138" s="4"/>
      <c r="C138" s="4"/>
      <c r="D138" s="4"/>
      <c r="E138" s="4"/>
      <c r="F138" s="4"/>
      <c r="G138" s="4"/>
      <c r="H138" s="4"/>
      <c r="I138" s="4"/>
      <c r="J138" s="4"/>
      <c r="K138" s="4"/>
      <c r="M138" s="72"/>
      <c r="N138" s="4"/>
      <c r="O138" s="4"/>
      <c r="P138" s="4"/>
      <c r="Q138" s="4"/>
    </row>
    <row r="139" spans="1:17" ht="12" customHeight="1" x14ac:dyDescent="0.25">
      <c r="A139" s="72"/>
      <c r="B139" s="72"/>
      <c r="C139" s="72"/>
      <c r="D139" s="72"/>
      <c r="E139" s="72"/>
      <c r="F139" s="72"/>
      <c r="G139" s="72"/>
      <c r="H139" s="72"/>
      <c r="I139" s="72"/>
      <c r="J139" s="72"/>
      <c r="K139" s="72"/>
      <c r="L139" s="3"/>
      <c r="M139" s="72"/>
      <c r="N139" s="4"/>
      <c r="O139" s="4"/>
      <c r="P139" s="4"/>
      <c r="Q139" s="4"/>
    </row>
    <row r="140" spans="1:17" s="30" customFormat="1" ht="18.75" x14ac:dyDescent="0.25">
      <c r="A140" s="113"/>
      <c r="B140" s="120" t="s">
        <v>65</v>
      </c>
      <c r="C140" s="121"/>
      <c r="D140" s="121"/>
      <c r="E140" s="121"/>
      <c r="F140" s="121"/>
      <c r="G140" s="121"/>
      <c r="H140" s="121"/>
      <c r="I140" s="121"/>
      <c r="J140" s="121"/>
      <c r="K140" s="121"/>
      <c r="L140" s="114"/>
      <c r="M140" s="113"/>
      <c r="N140" s="120"/>
      <c r="O140" s="121"/>
      <c r="P140" s="121"/>
      <c r="Q140" s="121"/>
    </row>
    <row r="141" spans="1:17" ht="77.25" customHeight="1" x14ac:dyDescent="0.25">
      <c r="A141" s="72"/>
      <c r="B141" s="4"/>
      <c r="C141" s="215" t="s">
        <v>330</v>
      </c>
      <c r="D141" s="215"/>
      <c r="E141" s="215"/>
      <c r="F141" s="215"/>
      <c r="G141" s="215"/>
      <c r="H141" s="215"/>
      <c r="I141" s="215"/>
      <c r="J141" s="4"/>
      <c r="K141" s="4"/>
      <c r="M141" s="72"/>
      <c r="N141" s="27"/>
      <c r="O141" s="27"/>
      <c r="P141" s="4"/>
      <c r="Q141" s="4"/>
    </row>
    <row r="142" spans="1:17" x14ac:dyDescent="0.25">
      <c r="A142" s="72"/>
      <c r="B142" s="117"/>
      <c r="C142" s="234" t="s">
        <v>296</v>
      </c>
      <c r="D142" s="234"/>
      <c r="E142" s="235" t="s">
        <v>337</v>
      </c>
      <c r="F142" s="235"/>
      <c r="G142" s="125" t="s">
        <v>328</v>
      </c>
      <c r="H142" s="4"/>
      <c r="I142" s="4"/>
      <c r="J142" s="4"/>
      <c r="K142" s="4"/>
      <c r="M142" s="72"/>
      <c r="N142" s="4"/>
      <c r="O142" s="4"/>
      <c r="P142" s="4"/>
      <c r="Q142" s="4"/>
    </row>
    <row r="143" spans="1:17" x14ac:dyDescent="0.25">
      <c r="A143" s="72"/>
      <c r="B143" s="4"/>
      <c r="C143" s="4"/>
      <c r="D143" s="4"/>
      <c r="E143" s="4"/>
      <c r="F143" s="4"/>
      <c r="G143" s="4"/>
      <c r="H143" s="4"/>
      <c r="I143" s="4"/>
      <c r="J143" s="4"/>
      <c r="K143" s="4"/>
      <c r="M143" s="72"/>
      <c r="N143" s="141"/>
      <c r="O143" s="4"/>
      <c r="P143" s="4"/>
      <c r="Q143" s="4"/>
    </row>
    <row r="144" spans="1:17" x14ac:dyDescent="0.25">
      <c r="A144" s="72"/>
      <c r="B144" s="5" t="s">
        <v>66</v>
      </c>
      <c r="C144" s="5"/>
      <c r="D144" s="5"/>
      <c r="E144" s="5"/>
      <c r="F144" s="5"/>
      <c r="G144" s="5"/>
      <c r="H144" s="5"/>
      <c r="I144" s="5"/>
      <c r="J144" s="4"/>
      <c r="K144" s="4"/>
      <c r="M144" s="72"/>
      <c r="N144" s="4"/>
      <c r="O144" s="4"/>
      <c r="P144" s="4"/>
      <c r="Q144" s="4"/>
    </row>
    <row r="145" spans="1:17" x14ac:dyDescent="0.25">
      <c r="A145" s="72"/>
      <c r="B145" s="4"/>
      <c r="C145" s="247"/>
      <c r="D145" s="248"/>
      <c r="E145" s="248"/>
      <c r="F145" s="248"/>
      <c r="G145" s="249"/>
      <c r="H145" s="4"/>
      <c r="I145" s="4"/>
      <c r="J145" s="4"/>
      <c r="K145" s="4"/>
      <c r="L145" s="1">
        <f>IF(C145="Significantly increase safety and/or significantly reduce risk of harm",2, IF(C145="Slightly increase safety and/or significantly reduce risk of harm",1, IF(C145="not applicable/no impact",0, IF(C145="Slightly decrease safety and/or increase risk of harm", -1, IF(C145="Significantly decrease safety and/or increase risk of harm", -2, IF(C145="",20,""))))))</f>
        <v>20</v>
      </c>
      <c r="M145" s="72"/>
      <c r="N145" s="5"/>
      <c r="O145" s="5"/>
      <c r="P145" s="4"/>
      <c r="Q145" s="4"/>
    </row>
    <row r="146" spans="1:17" x14ac:dyDescent="0.25">
      <c r="A146" s="72"/>
      <c r="B146" s="4"/>
      <c r="C146" s="4"/>
      <c r="D146" s="4"/>
      <c r="E146" s="4"/>
      <c r="F146" s="4"/>
      <c r="G146" s="4"/>
      <c r="H146" s="4"/>
      <c r="I146" s="4"/>
      <c r="J146" s="4"/>
      <c r="K146" s="4"/>
      <c r="M146" s="72"/>
      <c r="N146" s="4"/>
      <c r="O146" s="4"/>
      <c r="P146" s="4"/>
      <c r="Q146" s="4"/>
    </row>
    <row r="147" spans="1:17" x14ac:dyDescent="0.25">
      <c r="A147" s="72"/>
      <c r="B147" s="5" t="s">
        <v>12</v>
      </c>
      <c r="C147" s="4"/>
      <c r="D147" s="4"/>
      <c r="E147" s="4"/>
      <c r="F147" s="4"/>
      <c r="G147" s="4"/>
      <c r="H147" s="4"/>
      <c r="I147" s="4"/>
      <c r="J147" s="4"/>
      <c r="K147" s="4"/>
      <c r="M147" s="72"/>
      <c r="N147" s="4"/>
      <c r="O147" s="4"/>
      <c r="P147" s="4"/>
      <c r="Q147" s="4"/>
    </row>
    <row r="148" spans="1:17" x14ac:dyDescent="0.25">
      <c r="A148" s="72"/>
      <c r="B148" s="86"/>
      <c r="C148" s="244"/>
      <c r="D148" s="245"/>
      <c r="E148" s="245"/>
      <c r="F148" s="245"/>
      <c r="G148" s="246"/>
      <c r="H148" s="86"/>
      <c r="I148" s="86"/>
      <c r="J148" s="4"/>
      <c r="K148" s="4"/>
      <c r="L148" s="59" t="str">
        <f>IF(C148="yes",2,IF(C148="no",1,"0"))</f>
        <v>0</v>
      </c>
      <c r="M148" s="72"/>
      <c r="N148" s="4"/>
      <c r="O148" s="4"/>
      <c r="P148" s="4"/>
      <c r="Q148" s="4"/>
    </row>
    <row r="149" spans="1:17" x14ac:dyDescent="0.25">
      <c r="A149" s="72"/>
      <c r="B149" s="4"/>
      <c r="C149" s="4"/>
      <c r="D149" s="4"/>
      <c r="E149" s="4"/>
      <c r="F149" s="4"/>
      <c r="G149" s="4"/>
      <c r="H149" s="4"/>
      <c r="I149" s="4"/>
      <c r="J149" s="4"/>
      <c r="K149" s="4"/>
      <c r="L149" s="57"/>
      <c r="M149" s="72"/>
      <c r="N149" s="4"/>
      <c r="O149" s="4"/>
      <c r="P149" s="4"/>
      <c r="Q149" s="4"/>
    </row>
    <row r="150" spans="1:17" x14ac:dyDescent="0.25">
      <c r="A150" s="72"/>
      <c r="B150" s="118" t="s">
        <v>67</v>
      </c>
      <c r="C150" s="119"/>
      <c r="D150" s="119"/>
      <c r="E150" s="119"/>
      <c r="F150" s="119"/>
      <c r="G150" s="119"/>
      <c r="H150" s="5"/>
      <c r="I150" s="5"/>
      <c r="J150" s="4"/>
      <c r="K150" s="4"/>
      <c r="L150" s="57"/>
      <c r="M150" s="72"/>
      <c r="N150" s="4"/>
      <c r="O150" s="4"/>
      <c r="P150" s="4"/>
      <c r="Q150" s="4"/>
    </row>
    <row r="151" spans="1:17" x14ac:dyDescent="0.25">
      <c r="A151" s="72"/>
      <c r="B151" s="4"/>
      <c r="C151" s="247"/>
      <c r="D151" s="248"/>
      <c r="E151" s="248"/>
      <c r="F151" s="248"/>
      <c r="G151" s="249"/>
      <c r="H151" s="4"/>
      <c r="I151" s="4"/>
      <c r="J151" s="4"/>
      <c r="K151" s="4"/>
      <c r="L151" s="59" t="str">
        <f>IF(C151="yes",2,IF(C151="no",1,"0"))</f>
        <v>0</v>
      </c>
      <c r="M151" s="72"/>
      <c r="N151" s="4"/>
      <c r="O151" s="4"/>
      <c r="P151" s="4"/>
      <c r="Q151" s="4"/>
    </row>
    <row r="152" spans="1:17" x14ac:dyDescent="0.25">
      <c r="A152" s="72"/>
      <c r="B152" s="4"/>
      <c r="C152" s="4"/>
      <c r="D152" s="4"/>
      <c r="E152" s="4"/>
      <c r="F152" s="4"/>
      <c r="G152" s="4"/>
      <c r="H152" s="4"/>
      <c r="I152" s="4"/>
      <c r="J152" s="4"/>
      <c r="K152" s="4"/>
      <c r="L152" s="3">
        <f>IF(C145="",20,((L145*L148)*L151))</f>
        <v>20</v>
      </c>
      <c r="M152" s="72"/>
      <c r="N152" s="27"/>
      <c r="O152" s="27"/>
      <c r="P152" s="4"/>
      <c r="Q152" s="4"/>
    </row>
    <row r="153" spans="1:17" x14ac:dyDescent="0.25">
      <c r="A153" s="72"/>
      <c r="B153" s="5" t="s">
        <v>21</v>
      </c>
      <c r="C153" s="5" t="s">
        <v>560</v>
      </c>
      <c r="D153" s="4"/>
      <c r="E153" s="4"/>
      <c r="F153" s="4"/>
      <c r="G153" s="4"/>
      <c r="H153" s="4"/>
      <c r="I153" s="4"/>
      <c r="J153" s="4"/>
      <c r="K153" s="4"/>
      <c r="M153" s="72"/>
      <c r="N153" s="27"/>
      <c r="O153" s="27"/>
      <c r="P153" s="4"/>
      <c r="Q153" s="4"/>
    </row>
    <row r="154" spans="1:17" ht="34.5" customHeight="1" x14ac:dyDescent="0.25">
      <c r="A154" s="72"/>
      <c r="B154" s="4"/>
      <c r="C154" s="269"/>
      <c r="D154" s="269"/>
      <c r="E154" s="269"/>
      <c r="F154" s="269"/>
      <c r="G154" s="269"/>
      <c r="H154" s="4"/>
      <c r="I154" s="4"/>
      <c r="J154" s="4"/>
      <c r="K154" s="4"/>
      <c r="L154" s="19">
        <f>IF(C154="",1,0)</f>
        <v>1</v>
      </c>
      <c r="M154" s="72"/>
      <c r="N154" s="4"/>
      <c r="O154" s="4"/>
      <c r="P154" s="4"/>
      <c r="Q154" s="4"/>
    </row>
    <row r="155" spans="1:17" x14ac:dyDescent="0.25">
      <c r="A155" s="72"/>
      <c r="B155" s="4"/>
      <c r="C155" s="4"/>
      <c r="D155" s="4"/>
      <c r="E155" s="4"/>
      <c r="F155" s="4"/>
      <c r="G155" s="4"/>
      <c r="H155" s="4"/>
      <c r="I155" s="4"/>
      <c r="J155" s="4"/>
      <c r="K155" s="4"/>
      <c r="M155" s="72"/>
      <c r="N155" s="4"/>
      <c r="O155" s="4"/>
      <c r="P155" s="4"/>
      <c r="Q155" s="4"/>
    </row>
    <row r="156" spans="1:17" ht="13.5" customHeight="1" x14ac:dyDescent="0.25">
      <c r="A156" s="72"/>
      <c r="B156" s="72"/>
      <c r="C156" s="72"/>
      <c r="D156" s="72"/>
      <c r="E156" s="72"/>
      <c r="F156" s="72"/>
      <c r="G156" s="72"/>
      <c r="H156" s="72"/>
      <c r="I156" s="72"/>
      <c r="J156" s="72"/>
      <c r="K156" s="72"/>
      <c r="L156" s="3"/>
      <c r="M156" s="72"/>
      <c r="N156" s="4"/>
      <c r="O156" s="4"/>
      <c r="P156" s="4"/>
      <c r="Q156" s="4"/>
    </row>
    <row r="157" spans="1:17" s="63" customFormat="1" ht="15.75" customHeight="1" x14ac:dyDescent="0.3">
      <c r="A157" s="109"/>
      <c r="B157" s="6" t="s">
        <v>68</v>
      </c>
      <c r="C157" s="14"/>
      <c r="D157" s="14"/>
      <c r="E157" s="14"/>
      <c r="F157" s="14"/>
      <c r="G157" s="14"/>
      <c r="H157" s="14"/>
      <c r="I157" s="14"/>
      <c r="J157" s="14"/>
      <c r="K157" s="14"/>
      <c r="L157" s="40"/>
      <c r="M157" s="109"/>
      <c r="N157" s="6"/>
      <c r="O157" s="14"/>
      <c r="P157" s="14"/>
      <c r="Q157" s="14"/>
    </row>
    <row r="158" spans="1:17" ht="108" customHeight="1" x14ac:dyDescent="0.25">
      <c r="A158" s="72"/>
      <c r="B158" s="4"/>
      <c r="C158" s="215" t="s">
        <v>377</v>
      </c>
      <c r="D158" s="215"/>
      <c r="E158" s="215"/>
      <c r="F158" s="215"/>
      <c r="G158" s="215"/>
      <c r="H158" s="215"/>
      <c r="I158" s="215"/>
      <c r="J158" s="4"/>
      <c r="K158" s="4"/>
      <c r="M158" s="72"/>
      <c r="N158" s="27"/>
      <c r="O158" s="27"/>
      <c r="P158" s="4"/>
      <c r="Q158" s="4"/>
    </row>
    <row r="159" spans="1:17" x14ac:dyDescent="0.25">
      <c r="A159" s="72"/>
      <c r="B159" s="117"/>
      <c r="C159" s="234" t="s">
        <v>296</v>
      </c>
      <c r="D159" s="234"/>
      <c r="E159" s="235" t="s">
        <v>337</v>
      </c>
      <c r="F159" s="235"/>
      <c r="G159" s="125" t="s">
        <v>328</v>
      </c>
      <c r="H159" s="4"/>
      <c r="I159" s="4"/>
      <c r="J159" s="4"/>
      <c r="K159" s="4"/>
      <c r="M159" s="72"/>
      <c r="N159" s="27"/>
      <c r="O159" s="27"/>
      <c r="P159" s="4"/>
      <c r="Q159" s="4"/>
    </row>
    <row r="160" spans="1:17" ht="14.25" customHeight="1" x14ac:dyDescent="0.25">
      <c r="A160" s="72"/>
      <c r="B160" s="4"/>
      <c r="C160" s="4"/>
      <c r="D160" s="4"/>
      <c r="E160" s="4"/>
      <c r="F160" s="4"/>
      <c r="G160" s="4"/>
      <c r="H160" s="4"/>
      <c r="I160" s="4"/>
      <c r="J160" s="4"/>
      <c r="K160" s="4"/>
      <c r="M160" s="72"/>
      <c r="N160" s="27"/>
      <c r="O160" s="27"/>
      <c r="P160" s="4"/>
      <c r="Q160" s="4"/>
    </row>
    <row r="161" spans="1:17" x14ac:dyDescent="0.25">
      <c r="A161" s="72"/>
      <c r="B161" s="5" t="s">
        <v>69</v>
      </c>
      <c r="C161" s="5"/>
      <c r="D161" s="5"/>
      <c r="E161" s="5"/>
      <c r="F161" s="5"/>
      <c r="G161" s="5"/>
      <c r="H161" s="5"/>
      <c r="I161" s="5"/>
      <c r="J161" s="4"/>
      <c r="K161" s="4"/>
      <c r="M161" s="72"/>
      <c r="N161" s="27"/>
      <c r="O161" s="27"/>
      <c r="P161" s="4"/>
      <c r="Q161" s="4"/>
    </row>
    <row r="162" spans="1:17" x14ac:dyDescent="0.25">
      <c r="A162" s="72"/>
      <c r="B162" s="4"/>
      <c r="C162" s="247"/>
      <c r="D162" s="248"/>
      <c r="E162" s="248"/>
      <c r="F162" s="248"/>
      <c r="G162" s="249"/>
      <c r="H162" s="4"/>
      <c r="I162" s="4"/>
      <c r="J162" s="4"/>
      <c r="K162" s="4"/>
      <c r="L162" s="1">
        <f>IF(C162="No groups differentially impacted and active promotion of safeguards",2, IF(C162="No groups differentially impacted",1, IF(C162="not applicable/no impact",0, IF(C162="Some groups differentially impacted but with safeguards in place", -1, IF(C162="Some groups differentially impacted", -2, IF(C162="",20,""))))))</f>
        <v>20</v>
      </c>
      <c r="M162" s="72"/>
      <c r="N162" s="4"/>
      <c r="O162" s="4"/>
      <c r="P162" s="4"/>
      <c r="Q162" s="4"/>
    </row>
    <row r="163" spans="1:17" x14ac:dyDescent="0.25">
      <c r="A163" s="72"/>
      <c r="B163" s="4"/>
      <c r="C163" s="4"/>
      <c r="D163" s="4"/>
      <c r="E163" s="4"/>
      <c r="F163" s="4"/>
      <c r="G163" s="4"/>
      <c r="H163" s="4"/>
      <c r="I163" s="4"/>
      <c r="J163" s="4"/>
      <c r="K163" s="4"/>
      <c r="M163" s="72"/>
      <c r="N163" s="5"/>
      <c r="O163" s="5"/>
      <c r="P163" s="4"/>
      <c r="Q163" s="4"/>
    </row>
    <row r="164" spans="1:17" x14ac:dyDescent="0.25">
      <c r="A164" s="72"/>
      <c r="B164" s="5" t="s">
        <v>12</v>
      </c>
      <c r="C164" s="4"/>
      <c r="D164" s="4"/>
      <c r="E164" s="4"/>
      <c r="F164" s="4"/>
      <c r="G164" s="4"/>
      <c r="H164" s="4"/>
      <c r="I164" s="4"/>
      <c r="J164" s="4"/>
      <c r="K164" s="4"/>
      <c r="M164" s="72"/>
      <c r="N164" s="4"/>
      <c r="O164" s="4"/>
      <c r="P164" s="4"/>
      <c r="Q164" s="4"/>
    </row>
    <row r="165" spans="1:17" x14ac:dyDescent="0.25">
      <c r="A165" s="72"/>
      <c r="B165" s="86"/>
      <c r="C165" s="244"/>
      <c r="D165" s="245"/>
      <c r="E165" s="245"/>
      <c r="F165" s="245"/>
      <c r="G165" s="246"/>
      <c r="H165" s="86"/>
      <c r="I165" s="86"/>
      <c r="J165" s="4"/>
      <c r="K165" s="4"/>
      <c r="L165" s="59" t="str">
        <f>IF(C165="yes",2,IF(C165="no",1,"0"))</f>
        <v>0</v>
      </c>
      <c r="M165" s="72"/>
      <c r="N165" s="4"/>
      <c r="O165" s="4"/>
      <c r="P165" s="4"/>
      <c r="Q165" s="4"/>
    </row>
    <row r="166" spans="1:17" x14ac:dyDescent="0.25">
      <c r="A166" s="72"/>
      <c r="B166" s="4"/>
      <c r="C166" s="4"/>
      <c r="D166" s="4"/>
      <c r="E166" s="4"/>
      <c r="F166" s="4"/>
      <c r="G166" s="4"/>
      <c r="H166" s="4"/>
      <c r="I166" s="4"/>
      <c r="J166" s="4"/>
      <c r="K166" s="4"/>
      <c r="L166" s="57"/>
      <c r="M166" s="72"/>
      <c r="N166" s="4"/>
      <c r="O166" s="86"/>
      <c r="P166" s="4"/>
      <c r="Q166" s="4"/>
    </row>
    <row r="167" spans="1:17" x14ac:dyDescent="0.25">
      <c r="A167" s="72"/>
      <c r="B167" s="118" t="s">
        <v>71</v>
      </c>
      <c r="C167" s="119"/>
      <c r="D167" s="119"/>
      <c r="E167" s="119"/>
      <c r="F167" s="119"/>
      <c r="G167" s="119"/>
      <c r="H167" s="5"/>
      <c r="I167" s="5"/>
      <c r="J167" s="4"/>
      <c r="K167" s="4"/>
      <c r="L167" s="57"/>
      <c r="M167" s="72"/>
      <c r="N167" s="27"/>
      <c r="O167" s="86"/>
      <c r="P167" s="4"/>
      <c r="Q167" s="4"/>
    </row>
    <row r="168" spans="1:17" ht="17.45" customHeight="1" x14ac:dyDescent="0.25">
      <c r="A168" s="72"/>
      <c r="B168" s="4"/>
      <c r="C168" s="247"/>
      <c r="D168" s="248"/>
      <c r="E168" s="248"/>
      <c r="F168" s="248"/>
      <c r="G168" s="249"/>
      <c r="H168" s="4"/>
      <c r="I168" s="4"/>
      <c r="J168" s="4"/>
      <c r="K168" s="4"/>
      <c r="L168" s="59" t="str">
        <f>IF(C168="yes",2,IF(C168="no",1,"0"))</f>
        <v>0</v>
      </c>
      <c r="M168" s="72"/>
      <c r="N168" s="4"/>
      <c r="O168" s="27"/>
      <c r="P168" s="4"/>
      <c r="Q168" s="4"/>
    </row>
    <row r="169" spans="1:17" x14ac:dyDescent="0.25">
      <c r="A169" s="72"/>
      <c r="B169" s="4"/>
      <c r="C169" s="4"/>
      <c r="D169" s="4"/>
      <c r="E169" s="4"/>
      <c r="F169" s="4"/>
      <c r="G169" s="4"/>
      <c r="H169" s="4"/>
      <c r="I169" s="4"/>
      <c r="J169" s="4"/>
      <c r="K169" s="4"/>
      <c r="L169" s="3">
        <f>IF(C162="",20,((L162*L165)*L168))</f>
        <v>20</v>
      </c>
      <c r="M169" s="72"/>
      <c r="N169" s="27"/>
      <c r="O169" s="27"/>
      <c r="P169" s="4"/>
      <c r="Q169" s="4"/>
    </row>
    <row r="170" spans="1:17" x14ac:dyDescent="0.25">
      <c r="A170" s="72"/>
      <c r="B170" s="5" t="s">
        <v>21</v>
      </c>
      <c r="C170" s="5" t="s">
        <v>560</v>
      </c>
      <c r="D170" s="4"/>
      <c r="E170" s="4"/>
      <c r="F170" s="4"/>
      <c r="G170" s="4"/>
      <c r="H170" s="4"/>
      <c r="I170" s="4"/>
      <c r="J170" s="4"/>
      <c r="K170" s="4"/>
      <c r="M170" s="72"/>
      <c r="N170" s="27"/>
      <c r="O170" s="27"/>
      <c r="P170" s="4"/>
      <c r="Q170" s="4"/>
    </row>
    <row r="171" spans="1:17" ht="29.1" customHeight="1" x14ac:dyDescent="0.25">
      <c r="A171" s="72"/>
      <c r="B171" s="4"/>
      <c r="C171" s="269"/>
      <c r="D171" s="269"/>
      <c r="E171" s="269"/>
      <c r="F171" s="269"/>
      <c r="G171" s="269"/>
      <c r="H171" s="4"/>
      <c r="I171" s="4"/>
      <c r="J171" s="4"/>
      <c r="K171" s="4"/>
      <c r="L171" s="19">
        <f>IF(C171="",1,0)</f>
        <v>1</v>
      </c>
      <c r="M171" s="72"/>
      <c r="N171" s="27"/>
      <c r="O171" s="27"/>
      <c r="P171" s="4"/>
      <c r="Q171" s="4"/>
    </row>
    <row r="172" spans="1:17" x14ac:dyDescent="0.25">
      <c r="A172" s="72"/>
      <c r="B172" s="4"/>
      <c r="C172" s="4"/>
      <c r="D172" s="4"/>
      <c r="E172" s="4"/>
      <c r="F172" s="4"/>
      <c r="G172" s="4"/>
      <c r="H172" s="4"/>
      <c r="I172" s="4"/>
      <c r="J172" s="4"/>
      <c r="K172" s="4"/>
      <c r="M172" s="72"/>
      <c r="N172" s="4"/>
      <c r="O172" s="4"/>
      <c r="P172" s="4"/>
      <c r="Q172" s="4"/>
    </row>
    <row r="173" spans="1:17" ht="9.75" customHeight="1" x14ac:dyDescent="0.25">
      <c r="A173" s="72"/>
      <c r="B173" s="72"/>
      <c r="C173" s="72"/>
      <c r="D173" s="72"/>
      <c r="E173" s="72"/>
      <c r="F173" s="72"/>
      <c r="G173" s="72"/>
      <c r="H173" s="72"/>
      <c r="I173" s="72"/>
      <c r="J173" s="72"/>
      <c r="K173" s="72"/>
      <c r="L173" s="72"/>
      <c r="M173" s="72"/>
      <c r="N173" s="4"/>
      <c r="O173" s="4"/>
      <c r="P173" s="4"/>
      <c r="Q173" s="4"/>
    </row>
    <row r="174" spans="1:17" s="63" customFormat="1" ht="18.75" x14ac:dyDescent="0.3">
      <c r="A174" s="109"/>
      <c r="B174" s="6" t="s">
        <v>72</v>
      </c>
      <c r="C174" s="14"/>
      <c r="D174" s="14"/>
      <c r="E174" s="14"/>
      <c r="F174" s="14"/>
      <c r="G174" s="14"/>
      <c r="H174" s="14"/>
      <c r="I174" s="14"/>
      <c r="J174" s="14"/>
      <c r="K174" s="14"/>
      <c r="L174" s="40"/>
      <c r="M174" s="109"/>
      <c r="N174" s="6"/>
      <c r="O174" s="14"/>
      <c r="P174" s="14"/>
      <c r="Q174" s="14"/>
    </row>
    <row r="175" spans="1:17" ht="84" customHeight="1" x14ac:dyDescent="0.25">
      <c r="A175" s="72"/>
      <c r="B175" s="4"/>
      <c r="C175" s="215" t="s">
        <v>73</v>
      </c>
      <c r="D175" s="215"/>
      <c r="E175" s="215"/>
      <c r="F175" s="215"/>
      <c r="G175" s="215"/>
      <c r="H175" s="215"/>
      <c r="I175" s="215"/>
      <c r="J175" s="4"/>
      <c r="K175" s="4"/>
      <c r="M175" s="72"/>
      <c r="N175" s="27"/>
      <c r="O175" s="27"/>
      <c r="P175" s="4"/>
      <c r="Q175" s="4"/>
    </row>
    <row r="176" spans="1:17" x14ac:dyDescent="0.25">
      <c r="A176" s="72"/>
      <c r="B176" s="4"/>
      <c r="C176" s="234" t="s">
        <v>296</v>
      </c>
      <c r="D176" s="234"/>
      <c r="E176" s="235" t="s">
        <v>337</v>
      </c>
      <c r="F176" s="235"/>
      <c r="G176" s="125" t="s">
        <v>328</v>
      </c>
      <c r="H176" s="4"/>
      <c r="I176" s="4"/>
      <c r="J176" s="4"/>
      <c r="K176" s="4"/>
      <c r="M176" s="72"/>
      <c r="N176" s="4"/>
      <c r="O176" s="4"/>
      <c r="P176" s="4"/>
      <c r="Q176" s="4"/>
    </row>
    <row r="177" spans="1:17" x14ac:dyDescent="0.25">
      <c r="A177" s="72"/>
      <c r="B177" s="4"/>
      <c r="C177" s="4"/>
      <c r="D177" s="4"/>
      <c r="E177" s="4"/>
      <c r="F177" s="4"/>
      <c r="G177" s="4"/>
      <c r="H177" s="4"/>
      <c r="I177" s="4"/>
      <c r="J177" s="4"/>
      <c r="K177" s="4"/>
      <c r="M177" s="72"/>
      <c r="N177" s="4"/>
      <c r="O177" s="4"/>
      <c r="P177" s="4"/>
      <c r="Q177" s="4"/>
    </row>
    <row r="178" spans="1:17" x14ac:dyDescent="0.25">
      <c r="A178" s="72"/>
      <c r="B178" s="5" t="s">
        <v>74</v>
      </c>
      <c r="C178" s="5"/>
      <c r="D178" s="5"/>
      <c r="E178" s="5"/>
      <c r="F178" s="5"/>
      <c r="G178" s="5"/>
      <c r="H178" s="5"/>
      <c r="I178" s="5"/>
      <c r="J178" s="4"/>
      <c r="K178" s="4"/>
      <c r="M178" s="72"/>
      <c r="N178" s="4"/>
      <c r="O178" s="4"/>
      <c r="P178" s="4"/>
      <c r="Q178" s="4"/>
    </row>
    <row r="179" spans="1:17" x14ac:dyDescent="0.25">
      <c r="A179" s="72"/>
      <c r="B179" s="4"/>
      <c r="C179" s="247"/>
      <c r="D179" s="248"/>
      <c r="E179" s="248"/>
      <c r="F179" s="248"/>
      <c r="G179" s="249"/>
      <c r="H179" s="4"/>
      <c r="I179" s="4"/>
      <c r="J179" s="4"/>
      <c r="K179" s="4"/>
      <c r="L179" s="1">
        <f>IF(C179="Significant opportunities for involvement in and influence on planning and/or decisions",2, IF(C179="Some engagement with opportunities for involvement or consultation",1, IF(C179="not applicable/no impact",0, IF(C179="Advisory engagement with no opportunities for involvement", -1, IF(C179="No communication or engagement", -2, IF(C179="",20,""))))))</f>
        <v>20</v>
      </c>
      <c r="M179" s="72"/>
      <c r="N179" s="141"/>
      <c r="O179" s="4"/>
      <c r="P179" s="4"/>
      <c r="Q179" s="4"/>
    </row>
    <row r="180" spans="1:17" x14ac:dyDescent="0.25">
      <c r="A180" s="72"/>
      <c r="B180" s="4"/>
      <c r="C180" s="4"/>
      <c r="D180" s="4"/>
      <c r="E180" s="4"/>
      <c r="F180" s="4"/>
      <c r="G180" s="4"/>
      <c r="H180" s="4"/>
      <c r="I180" s="4"/>
      <c r="J180" s="4"/>
      <c r="K180" s="4"/>
      <c r="M180" s="72"/>
      <c r="N180" s="4"/>
      <c r="O180" s="4"/>
      <c r="P180" s="4"/>
      <c r="Q180" s="4"/>
    </row>
    <row r="181" spans="1:17" x14ac:dyDescent="0.25">
      <c r="A181" s="72"/>
      <c r="B181" s="5" t="s">
        <v>12</v>
      </c>
      <c r="C181" s="4"/>
      <c r="D181" s="4"/>
      <c r="E181" s="4"/>
      <c r="F181" s="4"/>
      <c r="G181" s="4"/>
      <c r="H181" s="4"/>
      <c r="I181" s="4"/>
      <c r="J181" s="4"/>
      <c r="K181" s="4"/>
      <c r="M181" s="72"/>
      <c r="N181" s="5"/>
      <c r="O181" s="5"/>
      <c r="P181" s="4"/>
      <c r="Q181" s="4"/>
    </row>
    <row r="182" spans="1:17" x14ac:dyDescent="0.25">
      <c r="A182" s="72"/>
      <c r="B182" s="86"/>
      <c r="C182" s="244"/>
      <c r="D182" s="245"/>
      <c r="E182" s="245"/>
      <c r="F182" s="245"/>
      <c r="G182" s="246"/>
      <c r="H182" s="86"/>
      <c r="I182" s="86"/>
      <c r="J182" s="4"/>
      <c r="K182" s="4"/>
      <c r="L182" s="1" t="str">
        <f>IF(C182="yes",2,IF(C182="no",1,"0"))</f>
        <v>0</v>
      </c>
      <c r="M182" s="72"/>
      <c r="N182" s="4"/>
      <c r="O182" s="4"/>
      <c r="P182" s="4"/>
      <c r="Q182" s="4"/>
    </row>
    <row r="183" spans="1:17" x14ac:dyDescent="0.25">
      <c r="A183" s="72"/>
      <c r="B183" s="4"/>
      <c r="C183" s="4"/>
      <c r="D183" s="4"/>
      <c r="E183" s="4"/>
      <c r="F183" s="4"/>
      <c r="G183" s="4"/>
      <c r="H183" s="4"/>
      <c r="I183" s="4"/>
      <c r="J183" s="4"/>
      <c r="K183" s="4"/>
      <c r="M183" s="72"/>
      <c r="N183" s="4"/>
      <c r="O183" s="4"/>
      <c r="P183" s="4"/>
      <c r="Q183" s="4"/>
    </row>
    <row r="184" spans="1:17" x14ac:dyDescent="0.25">
      <c r="A184" s="72"/>
      <c r="B184" s="118" t="s">
        <v>76</v>
      </c>
      <c r="C184" s="119"/>
      <c r="D184" s="119"/>
      <c r="E184" s="119"/>
      <c r="F184" s="119"/>
      <c r="G184" s="119"/>
      <c r="H184" s="5"/>
      <c r="I184" s="5"/>
      <c r="J184" s="4"/>
      <c r="K184" s="4"/>
      <c r="M184" s="72"/>
      <c r="N184" s="4"/>
      <c r="O184" s="4"/>
      <c r="P184" s="4"/>
      <c r="Q184" s="4"/>
    </row>
    <row r="185" spans="1:17" x14ac:dyDescent="0.25">
      <c r="A185" s="72"/>
      <c r="B185" s="4"/>
      <c r="C185" s="247"/>
      <c r="D185" s="248"/>
      <c r="E185" s="248"/>
      <c r="F185" s="248"/>
      <c r="G185" s="249"/>
      <c r="H185" s="4"/>
      <c r="I185" s="4"/>
      <c r="J185" s="4"/>
      <c r="K185" s="4"/>
      <c r="L185" s="1" t="str">
        <f>IF(C185="yes",2,IF(C185="no",1,"0"))</f>
        <v>0</v>
      </c>
      <c r="M185" s="72"/>
      <c r="N185" s="4"/>
      <c r="O185" s="4"/>
      <c r="P185" s="4"/>
      <c r="Q185" s="4"/>
    </row>
    <row r="186" spans="1:17" x14ac:dyDescent="0.25">
      <c r="A186" s="72"/>
      <c r="B186" s="4"/>
      <c r="C186" s="4"/>
      <c r="D186" s="4"/>
      <c r="E186" s="4"/>
      <c r="F186" s="4"/>
      <c r="G186" s="4"/>
      <c r="H186" s="4"/>
      <c r="I186" s="4"/>
      <c r="J186" s="4"/>
      <c r="K186" s="4"/>
      <c r="L186" s="3">
        <f>IF(C179="",20,((L179*L182)*L185))</f>
        <v>20</v>
      </c>
      <c r="M186" s="72"/>
      <c r="N186" s="4"/>
      <c r="O186" s="4"/>
      <c r="P186" s="4"/>
      <c r="Q186" s="4"/>
    </row>
    <row r="187" spans="1:17" x14ac:dyDescent="0.25">
      <c r="A187" s="72"/>
      <c r="B187" s="5" t="s">
        <v>21</v>
      </c>
      <c r="C187" s="5" t="s">
        <v>560</v>
      </c>
      <c r="D187" s="4"/>
      <c r="E187" s="4"/>
      <c r="F187" s="4"/>
      <c r="G187" s="4"/>
      <c r="H187" s="4"/>
      <c r="I187" s="4"/>
      <c r="J187" s="4"/>
      <c r="K187" s="4"/>
      <c r="M187" s="72"/>
      <c r="N187" s="27"/>
      <c r="O187" s="27"/>
      <c r="P187" s="4"/>
      <c r="Q187" s="4"/>
    </row>
    <row r="188" spans="1:17" ht="29.45" customHeight="1" x14ac:dyDescent="0.25">
      <c r="A188" s="72"/>
      <c r="B188" s="4"/>
      <c r="C188" s="271"/>
      <c r="D188" s="272"/>
      <c r="E188" s="272"/>
      <c r="F188" s="272"/>
      <c r="G188" s="273"/>
      <c r="H188" s="4"/>
      <c r="I188" s="4"/>
      <c r="J188" s="4"/>
      <c r="K188" s="4"/>
      <c r="L188" s="1">
        <f>IF(C188="",1,0)</f>
        <v>1</v>
      </c>
      <c r="M188" s="72"/>
      <c r="N188" s="27"/>
      <c r="O188" s="27"/>
      <c r="P188" s="4"/>
      <c r="Q188" s="4"/>
    </row>
    <row r="189" spans="1:17" x14ac:dyDescent="0.25">
      <c r="A189" s="72"/>
      <c r="B189" s="4"/>
      <c r="C189" s="4"/>
      <c r="D189" s="4"/>
      <c r="E189" s="4"/>
      <c r="F189" s="4"/>
      <c r="G189" s="4"/>
      <c r="H189" s="4"/>
      <c r="I189" s="4"/>
      <c r="J189" s="4"/>
      <c r="K189" s="4"/>
      <c r="M189" s="72"/>
      <c r="N189" s="4"/>
      <c r="O189" s="4"/>
      <c r="P189" s="4"/>
      <c r="Q189" s="4"/>
    </row>
    <row r="190" spans="1:17" x14ac:dyDescent="0.25">
      <c r="A190" s="72"/>
      <c r="B190" s="72"/>
      <c r="C190" s="72"/>
      <c r="D190" s="72"/>
      <c r="E190" s="72"/>
      <c r="F190" s="72"/>
      <c r="G190" s="72"/>
      <c r="H190" s="72"/>
      <c r="I190" s="72"/>
      <c r="J190" s="72"/>
      <c r="K190" s="72"/>
      <c r="L190" s="72"/>
      <c r="M190" s="72"/>
      <c r="N190" s="4"/>
      <c r="O190" s="4"/>
      <c r="P190" s="4"/>
      <c r="Q190" s="4"/>
    </row>
    <row r="191" spans="1:17" s="63" customFormat="1" ht="18.75" x14ac:dyDescent="0.3">
      <c r="A191" s="14"/>
      <c r="B191" s="122"/>
      <c r="C191" s="122"/>
      <c r="D191" s="122"/>
      <c r="E191" s="122"/>
      <c r="F191" s="122"/>
      <c r="G191" s="122"/>
      <c r="H191" s="122"/>
      <c r="I191" s="122"/>
      <c r="J191" s="122"/>
      <c r="K191" s="122"/>
      <c r="L191" s="122"/>
      <c r="M191" s="122"/>
      <c r="N191" s="122"/>
      <c r="O191" s="122"/>
      <c r="P191" s="122"/>
      <c r="Q191" s="14"/>
    </row>
    <row r="192" spans="1:17" x14ac:dyDescent="0.25">
      <c r="A192" s="4"/>
      <c r="B192" s="4"/>
      <c r="C192" s="4"/>
      <c r="D192" s="4"/>
      <c r="E192" s="4"/>
      <c r="F192" s="4"/>
      <c r="G192" s="4"/>
      <c r="H192" s="4"/>
      <c r="I192" s="4"/>
      <c r="J192" s="4"/>
      <c r="K192" s="4"/>
      <c r="L192" s="4"/>
      <c r="M192" s="4"/>
      <c r="N192" s="4"/>
      <c r="O192" s="4"/>
      <c r="P192" s="4"/>
      <c r="Q192" s="4"/>
    </row>
    <row r="193" spans="1:15" x14ac:dyDescent="0.25">
      <c r="A193" s="4"/>
      <c r="B193" s="4"/>
      <c r="C193" s="4"/>
      <c r="D193" s="4"/>
      <c r="E193" s="4"/>
      <c r="F193" s="4"/>
      <c r="G193" s="4"/>
      <c r="H193" s="4"/>
      <c r="I193" s="4"/>
      <c r="J193" s="4"/>
      <c r="K193" s="4"/>
      <c r="L193" s="4"/>
      <c r="M193" s="4"/>
      <c r="N193" s="4"/>
      <c r="O193" s="4"/>
    </row>
    <row r="194" spans="1:15" x14ac:dyDescent="0.25">
      <c r="A194" s="4"/>
      <c r="B194" s="4"/>
      <c r="C194" s="4"/>
      <c r="D194" s="4"/>
      <c r="E194" s="4"/>
      <c r="F194" s="4"/>
      <c r="G194" s="4"/>
      <c r="H194" s="4"/>
      <c r="I194" s="4"/>
      <c r="J194" s="4"/>
      <c r="K194" s="4"/>
      <c r="L194" s="4"/>
      <c r="M194" s="4"/>
      <c r="N194" s="4"/>
      <c r="O194" s="4"/>
    </row>
    <row r="195" spans="1:15" x14ac:dyDescent="0.25">
      <c r="A195" s="4"/>
      <c r="B195" s="4"/>
      <c r="C195" s="4"/>
      <c r="D195" s="4"/>
      <c r="E195" s="4"/>
      <c r="F195" s="4"/>
      <c r="G195" s="4"/>
      <c r="H195" s="4"/>
      <c r="I195" s="4"/>
      <c r="J195" s="4"/>
      <c r="K195" s="4"/>
      <c r="L195" s="4"/>
      <c r="M195" s="4"/>
      <c r="N195" s="4"/>
      <c r="O195" s="4"/>
    </row>
    <row r="196" spans="1:15" x14ac:dyDescent="0.25">
      <c r="A196" s="4"/>
      <c r="B196" s="4"/>
      <c r="C196" s="4"/>
      <c r="D196" s="4"/>
      <c r="E196" s="4"/>
      <c r="F196" s="4"/>
      <c r="G196" s="4"/>
      <c r="H196" s="4"/>
      <c r="I196" s="4"/>
      <c r="J196" s="4"/>
      <c r="K196" s="4"/>
      <c r="L196" s="4"/>
      <c r="M196" s="4"/>
      <c r="N196" s="4"/>
      <c r="O196" s="4"/>
    </row>
    <row r="197" spans="1:15" x14ac:dyDescent="0.25">
      <c r="A197" s="4"/>
      <c r="B197" s="4"/>
      <c r="C197" s="4"/>
      <c r="D197" s="4"/>
      <c r="E197" s="4"/>
      <c r="F197" s="4"/>
      <c r="G197" s="4"/>
      <c r="H197" s="4"/>
      <c r="I197" s="4"/>
      <c r="J197" s="4"/>
      <c r="K197" s="4"/>
      <c r="L197" s="4"/>
      <c r="M197" s="4"/>
      <c r="N197" s="4"/>
      <c r="O197" s="4"/>
    </row>
    <row r="198" spans="1:15" x14ac:dyDescent="0.25">
      <c r="A198" s="4"/>
      <c r="B198" s="4"/>
      <c r="C198" s="4"/>
      <c r="D198" s="4"/>
      <c r="E198" s="4"/>
      <c r="F198" s="4"/>
      <c r="G198" s="4"/>
      <c r="H198" s="4"/>
      <c r="I198" s="4"/>
      <c r="J198" s="4"/>
      <c r="K198" s="4"/>
      <c r="L198" s="4"/>
      <c r="M198" s="4"/>
      <c r="N198" s="4"/>
      <c r="O198" s="4"/>
    </row>
    <row r="199" spans="1:15" x14ac:dyDescent="0.25">
      <c r="A199" s="4"/>
      <c r="B199" s="4"/>
      <c r="C199" s="4"/>
      <c r="D199" s="4"/>
      <c r="E199" s="4"/>
      <c r="F199" s="4"/>
      <c r="G199" s="4"/>
      <c r="H199" s="4"/>
      <c r="I199" s="4"/>
      <c r="J199" s="4"/>
      <c r="K199" s="4"/>
      <c r="L199" s="4"/>
      <c r="M199" s="4"/>
      <c r="N199" s="4"/>
      <c r="O199" s="4"/>
    </row>
    <row r="200" spans="1:15" x14ac:dyDescent="0.25">
      <c r="A200" s="4"/>
      <c r="B200" s="4"/>
      <c r="C200" s="4"/>
      <c r="D200" s="4"/>
      <c r="E200" s="4"/>
      <c r="F200" s="4"/>
      <c r="G200" s="4"/>
      <c r="H200" s="4"/>
      <c r="I200" s="4"/>
      <c r="J200" s="4"/>
      <c r="K200" s="4"/>
      <c r="L200" s="4"/>
      <c r="M200" s="4"/>
      <c r="N200" s="4"/>
      <c r="O200" s="4"/>
    </row>
    <row r="201" spans="1:15" x14ac:dyDescent="0.25">
      <c r="A201" s="4"/>
      <c r="B201" s="4"/>
      <c r="C201" s="4"/>
      <c r="D201" s="4"/>
      <c r="E201" s="4"/>
      <c r="F201" s="4"/>
      <c r="G201" s="4"/>
      <c r="H201" s="4"/>
      <c r="I201" s="4"/>
      <c r="J201" s="4"/>
      <c r="K201" s="4"/>
      <c r="L201" s="4"/>
      <c r="M201" s="4"/>
      <c r="N201" s="4"/>
      <c r="O201" s="4"/>
    </row>
    <row r="202" spans="1:15" x14ac:dyDescent="0.25">
      <c r="A202" s="4"/>
      <c r="B202" s="4"/>
      <c r="C202" s="4"/>
      <c r="D202" s="4"/>
      <c r="E202" s="4"/>
      <c r="F202" s="4"/>
      <c r="G202" s="4"/>
      <c r="H202" s="4"/>
      <c r="I202" s="4"/>
      <c r="J202" s="4"/>
      <c r="K202" s="4"/>
      <c r="L202" s="4"/>
      <c r="M202" s="4"/>
      <c r="N202" s="4"/>
      <c r="O202" s="4"/>
    </row>
    <row r="203" spans="1:15" x14ac:dyDescent="0.25">
      <c r="A203" s="4"/>
      <c r="B203" s="4"/>
      <c r="C203" s="4"/>
      <c r="D203" s="4"/>
      <c r="E203" s="4"/>
      <c r="F203" s="4"/>
      <c r="G203" s="4"/>
      <c r="H203" s="4"/>
      <c r="I203" s="4"/>
      <c r="J203" s="4"/>
      <c r="K203" s="4"/>
      <c r="L203" s="4"/>
      <c r="M203" s="4"/>
      <c r="N203" s="4"/>
      <c r="O203" s="4"/>
    </row>
    <row r="204" spans="1:15" x14ac:dyDescent="0.25">
      <c r="A204" s="4"/>
      <c r="B204" s="4"/>
      <c r="C204" s="4"/>
      <c r="D204" s="4"/>
      <c r="E204" s="4"/>
      <c r="F204" s="4"/>
      <c r="G204" s="4"/>
      <c r="H204" s="4"/>
      <c r="I204" s="4"/>
      <c r="J204" s="4"/>
      <c r="K204" s="4"/>
      <c r="L204" s="4"/>
      <c r="M204" s="4"/>
      <c r="N204" s="4"/>
      <c r="O204" s="4"/>
    </row>
    <row r="205" spans="1:15" x14ac:dyDescent="0.25">
      <c r="A205" s="4"/>
      <c r="B205" s="4"/>
      <c r="C205" s="4"/>
      <c r="D205" s="4"/>
      <c r="E205" s="4"/>
      <c r="F205" s="4"/>
      <c r="G205" s="4"/>
      <c r="H205" s="4"/>
      <c r="I205" s="4"/>
      <c r="J205" s="4"/>
      <c r="K205" s="4"/>
      <c r="L205" s="4"/>
      <c r="M205" s="4"/>
      <c r="N205" s="4"/>
      <c r="O205" s="4"/>
    </row>
    <row r="206" spans="1:15" x14ac:dyDescent="0.25">
      <c r="A206" s="4"/>
      <c r="B206" s="4"/>
      <c r="C206" s="4"/>
      <c r="D206" s="4"/>
      <c r="E206" s="4"/>
      <c r="F206" s="4"/>
      <c r="G206" s="4"/>
      <c r="H206" s="4"/>
      <c r="I206" s="4"/>
      <c r="J206" s="4"/>
      <c r="K206" s="4"/>
      <c r="L206" s="4"/>
      <c r="M206" s="4"/>
      <c r="N206" s="4"/>
      <c r="O206" s="4"/>
    </row>
    <row r="207" spans="1:15" x14ac:dyDescent="0.25">
      <c r="A207" s="4"/>
      <c r="B207" s="4"/>
      <c r="C207" s="4"/>
      <c r="D207" s="4"/>
      <c r="E207" s="4"/>
      <c r="F207" s="4"/>
      <c r="G207" s="4"/>
      <c r="H207" s="4"/>
      <c r="I207" s="4"/>
      <c r="J207" s="4"/>
      <c r="K207" s="4"/>
      <c r="L207" s="4"/>
      <c r="M207" s="4"/>
      <c r="N207" s="4"/>
      <c r="O207" s="4"/>
    </row>
    <row r="208" spans="1:15" x14ac:dyDescent="0.25">
      <c r="A208" s="4"/>
      <c r="B208" s="4"/>
      <c r="C208" s="4"/>
      <c r="D208" s="4"/>
      <c r="E208" s="4"/>
      <c r="F208" s="4"/>
      <c r="G208" s="4"/>
      <c r="H208" s="4"/>
      <c r="I208" s="4"/>
      <c r="J208" s="4"/>
      <c r="K208" s="4"/>
      <c r="L208" s="4"/>
      <c r="M208" s="4"/>
      <c r="N208" s="4"/>
      <c r="O208" s="4"/>
    </row>
    <row r="209" spans="1:15" x14ac:dyDescent="0.25">
      <c r="A209" s="4"/>
      <c r="B209" s="4"/>
      <c r="C209" s="4"/>
      <c r="D209" s="4"/>
      <c r="E209" s="4"/>
      <c r="F209" s="4"/>
      <c r="G209" s="4"/>
      <c r="H209" s="4"/>
      <c r="I209" s="4"/>
      <c r="J209" s="4"/>
      <c r="K209" s="4"/>
      <c r="L209" s="4"/>
      <c r="M209" s="4"/>
      <c r="N209" s="4"/>
      <c r="O209" s="4"/>
    </row>
    <row r="210" spans="1:15" x14ac:dyDescent="0.25">
      <c r="A210" s="4"/>
      <c r="B210" s="4"/>
      <c r="C210" s="4"/>
      <c r="D210" s="4"/>
      <c r="E210" s="4"/>
      <c r="F210" s="4"/>
      <c r="G210" s="4"/>
      <c r="H210" s="4"/>
      <c r="I210" s="4"/>
      <c r="J210" s="4"/>
      <c r="K210" s="4"/>
      <c r="L210" s="4"/>
      <c r="M210" s="4"/>
      <c r="N210" s="4"/>
      <c r="O210" s="4"/>
    </row>
    <row r="211" spans="1:15" x14ac:dyDescent="0.25">
      <c r="A211" s="4"/>
      <c r="B211" s="4"/>
      <c r="C211" s="4"/>
      <c r="D211" s="4"/>
      <c r="E211" s="4"/>
      <c r="F211" s="4"/>
      <c r="G211" s="4"/>
      <c r="H211" s="4"/>
      <c r="I211" s="4"/>
      <c r="J211" s="4"/>
      <c r="K211" s="4"/>
      <c r="L211" s="4"/>
      <c r="M211" s="4"/>
      <c r="N211" s="4"/>
      <c r="O211" s="4"/>
    </row>
    <row r="212" spans="1:15" x14ac:dyDescent="0.25">
      <c r="A212" s="4"/>
      <c r="B212" s="4"/>
      <c r="C212" s="4"/>
      <c r="D212" s="4"/>
      <c r="E212" s="4"/>
      <c r="F212" s="4"/>
      <c r="G212" s="4"/>
      <c r="H212" s="4"/>
      <c r="I212" s="4"/>
      <c r="J212" s="4"/>
      <c r="K212" s="4"/>
      <c r="L212" s="4"/>
      <c r="M212" s="4"/>
      <c r="N212" s="4"/>
      <c r="O212" s="4"/>
    </row>
    <row r="213" spans="1:15" x14ac:dyDescent="0.25">
      <c r="A213" s="4"/>
      <c r="B213" s="4"/>
      <c r="C213" s="4"/>
      <c r="D213" s="4"/>
      <c r="E213" s="4"/>
      <c r="F213" s="4"/>
      <c r="G213" s="4"/>
      <c r="H213" s="4"/>
      <c r="I213" s="4"/>
      <c r="J213" s="4"/>
      <c r="K213" s="4"/>
      <c r="L213" s="4"/>
      <c r="M213" s="4"/>
      <c r="N213" s="4"/>
      <c r="O213" s="4"/>
    </row>
    <row r="214" spans="1:15" x14ac:dyDescent="0.25">
      <c r="A214" s="4"/>
      <c r="B214" s="4"/>
      <c r="C214" s="4"/>
      <c r="D214" s="4"/>
      <c r="E214" s="4"/>
      <c r="F214" s="4"/>
      <c r="G214" s="4"/>
      <c r="H214" s="4"/>
      <c r="I214" s="4"/>
      <c r="J214" s="4"/>
      <c r="K214" s="4"/>
      <c r="L214" s="4"/>
      <c r="M214" s="4"/>
      <c r="N214" s="4"/>
      <c r="O214" s="4"/>
    </row>
    <row r="215" spans="1:15" x14ac:dyDescent="0.25">
      <c r="A215" s="4"/>
      <c r="B215" s="4"/>
      <c r="C215" s="4"/>
      <c r="D215" s="4"/>
      <c r="E215" s="4"/>
      <c r="F215" s="4"/>
      <c r="G215" s="4"/>
      <c r="H215" s="4"/>
      <c r="I215" s="4"/>
      <c r="J215" s="4"/>
      <c r="K215" s="4"/>
      <c r="L215" s="4"/>
      <c r="M215" s="4"/>
      <c r="N215" s="4"/>
      <c r="O215" s="4"/>
    </row>
    <row r="216" spans="1:15" x14ac:dyDescent="0.25">
      <c r="A216" s="4"/>
      <c r="B216" s="4"/>
      <c r="C216" s="4"/>
      <c r="D216" s="4"/>
      <c r="E216" s="4"/>
      <c r="F216" s="4"/>
      <c r="G216" s="4"/>
      <c r="H216" s="4"/>
      <c r="I216" s="4"/>
      <c r="J216" s="4"/>
      <c r="K216" s="4"/>
      <c r="L216" s="4"/>
      <c r="M216" s="4"/>
      <c r="N216" s="4"/>
      <c r="O216" s="4"/>
    </row>
    <row r="217" spans="1:15" x14ac:dyDescent="0.25">
      <c r="A217" s="4"/>
      <c r="B217" s="4"/>
      <c r="C217" s="4"/>
      <c r="D217" s="4"/>
      <c r="E217" s="4"/>
      <c r="F217" s="4"/>
      <c r="G217" s="4"/>
      <c r="H217" s="4"/>
      <c r="I217" s="4"/>
      <c r="J217" s="4"/>
      <c r="K217" s="4"/>
      <c r="L217" s="4"/>
      <c r="M217" s="4"/>
      <c r="N217" s="4"/>
      <c r="O217" s="4"/>
    </row>
    <row r="218" spans="1:15" x14ac:dyDescent="0.25">
      <c r="A218" s="4"/>
      <c r="B218" s="4"/>
      <c r="C218" s="4"/>
      <c r="D218" s="4"/>
      <c r="E218" s="4"/>
      <c r="F218" s="4"/>
      <c r="G218" s="4"/>
      <c r="H218" s="4"/>
      <c r="I218" s="4"/>
      <c r="J218" s="4"/>
      <c r="K218" s="4"/>
      <c r="L218" s="4"/>
      <c r="M218" s="4"/>
      <c r="N218" s="4"/>
      <c r="O218" s="4"/>
    </row>
    <row r="219" spans="1:15" x14ac:dyDescent="0.25">
      <c r="A219" s="4"/>
      <c r="B219" s="4"/>
      <c r="C219" s="4"/>
      <c r="D219" s="4"/>
      <c r="E219" s="4"/>
      <c r="F219" s="4"/>
      <c r="G219" s="4"/>
      <c r="H219" s="4"/>
      <c r="I219" s="4"/>
      <c r="J219" s="4"/>
      <c r="K219" s="4"/>
      <c r="L219" s="4"/>
      <c r="M219" s="4"/>
      <c r="N219" s="4"/>
      <c r="O219" s="4"/>
    </row>
    <row r="220" spans="1:15" x14ac:dyDescent="0.25">
      <c r="A220" s="4"/>
      <c r="B220" s="4"/>
      <c r="C220" s="4"/>
      <c r="D220" s="4"/>
      <c r="E220" s="4"/>
      <c r="F220" s="4"/>
      <c r="G220" s="4"/>
      <c r="H220" s="4"/>
      <c r="I220" s="4"/>
      <c r="J220" s="4"/>
      <c r="K220" s="4"/>
      <c r="L220" s="4"/>
      <c r="M220" s="4"/>
      <c r="N220" s="4"/>
      <c r="O220" s="4"/>
    </row>
  </sheetData>
  <mergeCells count="78">
    <mergeCell ref="C179:G179"/>
    <mergeCell ref="C182:G182"/>
    <mergeCell ref="C185:G185"/>
    <mergeCell ref="C188:G188"/>
    <mergeCell ref="C148:G148"/>
    <mergeCell ref="C151:G151"/>
    <mergeCell ref="C162:G162"/>
    <mergeCell ref="C165:G165"/>
    <mergeCell ref="C168:G168"/>
    <mergeCell ref="C171:G171"/>
    <mergeCell ref="C175:I175"/>
    <mergeCell ref="C154:G154"/>
    <mergeCell ref="C159:D159"/>
    <mergeCell ref="C158:I158"/>
    <mergeCell ref="C117:G117"/>
    <mergeCell ref="C128:G128"/>
    <mergeCell ref="C131:G131"/>
    <mergeCell ref="C134:G134"/>
    <mergeCell ref="C145:G145"/>
    <mergeCell ref="C124:I124"/>
    <mergeCell ref="C142:D142"/>
    <mergeCell ref="C141:I141"/>
    <mergeCell ref="B2:K2"/>
    <mergeCell ref="C5:J5"/>
    <mergeCell ref="C6:D6"/>
    <mergeCell ref="C137:G137"/>
    <mergeCell ref="C83:G83"/>
    <mergeCell ref="C86:G86"/>
    <mergeCell ref="C69:G69"/>
    <mergeCell ref="C35:G35"/>
    <mergeCell ref="C40:D40"/>
    <mergeCell ref="C52:G52"/>
    <mergeCell ref="C57:D57"/>
    <mergeCell ref="C39:I39"/>
    <mergeCell ref="C18:G18"/>
    <mergeCell ref="C23:D23"/>
    <mergeCell ref="C120:G120"/>
    <mergeCell ref="C125:D125"/>
    <mergeCell ref="C46:G46"/>
    <mergeCell ref="C49:G49"/>
    <mergeCell ref="C60:G60"/>
    <mergeCell ref="C63:G63"/>
    <mergeCell ref="C66:G66"/>
    <mergeCell ref="C56:I56"/>
    <mergeCell ref="C74:D74"/>
    <mergeCell ref="C91:D91"/>
    <mergeCell ref="C73:I73"/>
    <mergeCell ref="C90:I90"/>
    <mergeCell ref="C107:I107"/>
    <mergeCell ref="C103:G103"/>
    <mergeCell ref="C77:G77"/>
    <mergeCell ref="C80:G80"/>
    <mergeCell ref="C94:G94"/>
    <mergeCell ref="C97:G97"/>
    <mergeCell ref="C100:G100"/>
    <mergeCell ref="C9:G9"/>
    <mergeCell ref="C26:G26"/>
    <mergeCell ref="C29:G29"/>
    <mergeCell ref="C32:G32"/>
    <mergeCell ref="C43:G43"/>
    <mergeCell ref="C12:G12"/>
    <mergeCell ref="C15:G15"/>
    <mergeCell ref="C111:G111"/>
    <mergeCell ref="C114:G114"/>
    <mergeCell ref="C176:D176"/>
    <mergeCell ref="E6:F6"/>
    <mergeCell ref="E23:F23"/>
    <mergeCell ref="E40:F40"/>
    <mergeCell ref="E57:F57"/>
    <mergeCell ref="E74:F74"/>
    <mergeCell ref="E91:F91"/>
    <mergeCell ref="C108:D108"/>
    <mergeCell ref="E108:F108"/>
    <mergeCell ref="E125:F125"/>
    <mergeCell ref="E142:F142"/>
    <mergeCell ref="E159:F159"/>
    <mergeCell ref="E176:F176"/>
    <mergeCell ref="C22:I22"/>
  </mergeCells>
  <conditionalFormatting sqref="B9:C9">
    <cfRule type="expression" dxfId="48" priority="32">
      <formula>""</formula>
    </cfRule>
    <cfRule type="containsText" dxfId="47" priority="33" operator="containsText" text="&quot;&quot;">
      <formula>NOT(ISERROR(SEARCH("""""",B9)))</formula>
    </cfRule>
  </conditionalFormatting>
  <conditionalFormatting sqref="B26:C26">
    <cfRule type="expression" dxfId="46" priority="30">
      <formula>""</formula>
    </cfRule>
    <cfRule type="containsText" dxfId="45" priority="31" operator="containsText" text="&quot;&quot;">
      <formula>NOT(ISERROR(SEARCH("""""",B26)))</formula>
    </cfRule>
  </conditionalFormatting>
  <conditionalFormatting sqref="B43:C43">
    <cfRule type="expression" dxfId="44" priority="28">
      <formula>""</formula>
    </cfRule>
    <cfRule type="containsText" dxfId="43" priority="29" operator="containsText" text="&quot;&quot;">
      <formula>NOT(ISERROR(SEARCH("""""",B43)))</formula>
    </cfRule>
  </conditionalFormatting>
  <conditionalFormatting sqref="B60:C60">
    <cfRule type="expression" dxfId="42" priority="26">
      <formula>""</formula>
    </cfRule>
    <cfRule type="containsText" dxfId="41" priority="27" operator="containsText" text="&quot;&quot;">
      <formula>NOT(ISERROR(SEARCH("""""",B60)))</formula>
    </cfRule>
  </conditionalFormatting>
  <conditionalFormatting sqref="B77:C77">
    <cfRule type="expression" dxfId="40" priority="24">
      <formula>""</formula>
    </cfRule>
    <cfRule type="containsText" dxfId="39" priority="25" operator="containsText" text="&quot;&quot;">
      <formula>NOT(ISERROR(SEARCH("""""",B77)))</formula>
    </cfRule>
  </conditionalFormatting>
  <conditionalFormatting sqref="B94:C94">
    <cfRule type="expression" dxfId="38" priority="22">
      <formula>""</formula>
    </cfRule>
    <cfRule type="containsText" dxfId="37" priority="23" operator="containsText" text="&quot;&quot;">
      <formula>NOT(ISERROR(SEARCH("""""",B94)))</formula>
    </cfRule>
  </conditionalFormatting>
  <conditionalFormatting sqref="B111:C111">
    <cfRule type="expression" dxfId="36" priority="20">
      <formula>""</formula>
    </cfRule>
    <cfRule type="containsText" dxfId="35" priority="21" operator="containsText" text="&quot;&quot;">
      <formula>NOT(ISERROR(SEARCH("""""",B111)))</formula>
    </cfRule>
  </conditionalFormatting>
  <conditionalFormatting sqref="B128:C128">
    <cfRule type="expression" dxfId="34" priority="18">
      <formula>""</formula>
    </cfRule>
    <cfRule type="containsText" dxfId="33" priority="19" operator="containsText" text="&quot;&quot;">
      <formula>NOT(ISERROR(SEARCH("""""",B128)))</formula>
    </cfRule>
  </conditionalFormatting>
  <conditionalFormatting sqref="B145:C145">
    <cfRule type="expression" dxfId="32" priority="16">
      <formula>""</formula>
    </cfRule>
    <cfRule type="containsText" dxfId="31" priority="17" operator="containsText" text="&quot;&quot;">
      <formula>NOT(ISERROR(SEARCH("""""",B145)))</formula>
    </cfRule>
  </conditionalFormatting>
  <conditionalFormatting sqref="B162:C162">
    <cfRule type="expression" dxfId="30" priority="14">
      <formula>""</formula>
    </cfRule>
    <cfRule type="containsText" dxfId="29" priority="15" operator="containsText" text="&quot;&quot;">
      <formula>NOT(ISERROR(SEARCH("""""",B162)))</formula>
    </cfRule>
  </conditionalFormatting>
  <conditionalFormatting sqref="B179:C179">
    <cfRule type="expression" dxfId="28" priority="12">
      <formula>""</formula>
    </cfRule>
    <cfRule type="containsText" dxfId="27" priority="13" operator="containsText" text="&quot;&quot;">
      <formula>NOT(ISERROR(SEARCH("""""",B179)))</formula>
    </cfRule>
  </conditionalFormatting>
  <conditionalFormatting sqref="C12 C15">
    <cfRule type="expression" dxfId="26" priority="11">
      <formula>$C$9="Not applicable/No impact"</formula>
    </cfRule>
  </conditionalFormatting>
  <conditionalFormatting sqref="C29 C32">
    <cfRule type="expression" dxfId="25" priority="10">
      <formula>$C$26="Not applicable/No impact"</formula>
    </cfRule>
  </conditionalFormatting>
  <conditionalFormatting sqref="C46 C49">
    <cfRule type="expression" dxfId="24" priority="9">
      <formula>$C$43="Not applicable/No impact"</formula>
    </cfRule>
  </conditionalFormatting>
  <conditionalFormatting sqref="C63 C66">
    <cfRule type="expression" dxfId="23" priority="8">
      <formula>$C$60="Not applicable/No impact"</formula>
    </cfRule>
  </conditionalFormatting>
  <conditionalFormatting sqref="C80 C83">
    <cfRule type="expression" dxfId="22" priority="7">
      <formula>$C$77="Not applicable/No impact"</formula>
    </cfRule>
  </conditionalFormatting>
  <conditionalFormatting sqref="C97 C100">
    <cfRule type="expression" dxfId="21" priority="6">
      <formula>$C$94="Not applicable/No impact"</formula>
    </cfRule>
  </conditionalFormatting>
  <conditionalFormatting sqref="C114 C117">
    <cfRule type="expression" dxfId="20" priority="5">
      <formula>$C$111="Not applicable/No impact"</formula>
    </cfRule>
  </conditionalFormatting>
  <conditionalFormatting sqref="C131 C134">
    <cfRule type="expression" dxfId="19" priority="4">
      <formula>$C$128="Not applicable/No impact"</formula>
    </cfRule>
  </conditionalFormatting>
  <conditionalFormatting sqref="C148 C151">
    <cfRule type="expression" dxfId="18" priority="3">
      <formula>$C$145="Not applicable/No impact"</formula>
    </cfRule>
  </conditionalFormatting>
  <conditionalFormatting sqref="C165 C168">
    <cfRule type="expression" dxfId="17" priority="2">
      <formula>$C$162="Not applicable/No impact"</formula>
    </cfRule>
  </conditionalFormatting>
  <conditionalFormatting sqref="C182 C185">
    <cfRule type="expression" dxfId="16" priority="1">
      <formula>$C$179="Not applicable/No impact"</formula>
    </cfRule>
  </conditionalFormatting>
  <dataValidations count="2">
    <dataValidation errorStyle="warning" showInputMessage="1" showErrorMessage="1" error="You must select an option for this question" sqref="B9 B26 B43 B60 B77 B94 B111 B128 B145 B162 B179"/>
    <dataValidation showInputMessage="1" showErrorMessage="1" error="You must answer this question" prompt="Please note why you think this project/policy will have the impact stated above. If the impact is 'not applicable', please explain here." sqref="C188 C18 C35 C52 C154 C86 C103 C120 C171 C69 C137"/>
  </dataValidations>
  <pageMargins left="0.7" right="0.7" top="0.75" bottom="0.75" header="0.3" footer="0.3"/>
  <pageSetup scale="77" orientation="portrait" r:id="rId1"/>
  <rowBreaks count="5" manualBreakCount="5">
    <brk id="36" max="12" man="1"/>
    <brk id="70" max="12" man="1"/>
    <brk id="104" max="12" man="1"/>
    <brk id="138" max="12" man="1"/>
    <brk id="173" max="12" man="1"/>
  </rowBreaks>
  <colBreaks count="1" manualBreakCount="1">
    <brk id="13" max="1048575" man="1"/>
  </colBreaks>
  <drawing r:id="rId2"/>
  <legacyDrawing r:id="rId3"/>
  <extLst>
    <ext xmlns:x14="http://schemas.microsoft.com/office/spreadsheetml/2009/9/main" uri="{CCE6A557-97BC-4b89-ADB6-D9C93CAAB3DF}">
      <x14:dataValidations xmlns:xm="http://schemas.microsoft.com/office/excel/2006/main" count="12">
        <x14:dataValidation type="list" errorStyle="warning" showInputMessage="1" showErrorMessage="1" error="You must select an option for this question">
          <x14:formula1>
            <xm:f>'Drop downs'!$A$15:$A$19</xm:f>
          </x14:formula1>
          <xm:sqref>C9</xm:sqref>
        </x14:dataValidation>
        <x14:dataValidation type="list" allowBlank="1" showInputMessage="1" showErrorMessage="1">
          <x14:formula1>
            <xm:f>'Drop downs'!$G$7:$G$8</xm:f>
          </x14:formula1>
          <xm:sqref>C29 C15 C12 C32 C46 C49 C63 C66 C80 C83 C97 C100 C114 C117 C131 C134 C148 C151 C165 C168 C182 C185</xm:sqref>
        </x14:dataValidation>
        <x14:dataValidation type="list" errorStyle="warning" showInputMessage="1" showErrorMessage="1" error="You must select an option for this question">
          <x14:formula1>
            <xm:f>'Drop downs'!$A$22:$A$26</xm:f>
          </x14:formula1>
          <xm:sqref>C26</xm:sqref>
        </x14:dataValidation>
        <x14:dataValidation type="list" errorStyle="warning" showInputMessage="1" showErrorMessage="1" error="You must select an option for this question">
          <x14:formula1>
            <xm:f>'Drop downs'!$A$29:$A$33</xm:f>
          </x14:formula1>
          <xm:sqref>C43</xm:sqref>
        </x14:dataValidation>
        <x14:dataValidation type="list" errorStyle="warning" showInputMessage="1" showErrorMessage="1" error="You must select an option for this question">
          <x14:formula1>
            <xm:f>'Drop downs'!$A$36:$A$40</xm:f>
          </x14:formula1>
          <xm:sqref>C60</xm:sqref>
        </x14:dataValidation>
        <x14:dataValidation type="list" errorStyle="warning" showInputMessage="1" showErrorMessage="1" error="You must select an option for this question">
          <x14:formula1>
            <xm:f>'Drop downs'!$A$57:$A$61</xm:f>
          </x14:formula1>
          <xm:sqref>C111</xm:sqref>
        </x14:dataValidation>
        <x14:dataValidation type="list" errorStyle="warning" showInputMessage="1" showErrorMessage="1" error="You must select an option for this question">
          <x14:formula1>
            <xm:f>'Drop downs'!$A$64:$A$68</xm:f>
          </x14:formula1>
          <xm:sqref>C128</xm:sqref>
        </x14:dataValidation>
        <x14:dataValidation type="list" errorStyle="warning" showInputMessage="1" showErrorMessage="1" error="You must select an option for this question">
          <x14:formula1>
            <xm:f>'Drop downs'!$A$71:$A$75</xm:f>
          </x14:formula1>
          <xm:sqref>C145</xm:sqref>
        </x14:dataValidation>
        <x14:dataValidation type="list" errorStyle="warning" showInputMessage="1" showErrorMessage="1" error="You must select an option for this question">
          <x14:formula1>
            <xm:f>'Drop downs'!$A$85:$A$89</xm:f>
          </x14:formula1>
          <xm:sqref>C179</xm:sqref>
        </x14:dataValidation>
        <x14:dataValidation type="list" errorStyle="warning" showInputMessage="1" showErrorMessage="1" error="You must select an option for this question">
          <x14:formula1>
            <xm:f>'Drop downs'!$A$78:$A$82</xm:f>
          </x14:formula1>
          <xm:sqref>C162</xm:sqref>
        </x14:dataValidation>
        <x14:dataValidation type="list" errorStyle="warning" showInputMessage="1" showErrorMessage="1" error="You must select an option for this question">
          <x14:formula1>
            <xm:f>'Drop downs'!$A$50:$A$54</xm:f>
          </x14:formula1>
          <xm:sqref>C94</xm:sqref>
        </x14:dataValidation>
        <x14:dataValidation type="list" errorStyle="warning" showInputMessage="1" showErrorMessage="1" error="You must select an option for this question">
          <x14:formula1>
            <xm:f>'Drop downs'!$A$43:$A$47</xm:f>
          </x14:formula1>
          <xm:sqref>C77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2:O61"/>
  <sheetViews>
    <sheetView workbookViewId="0">
      <selection activeCell="I3" sqref="I3"/>
    </sheetView>
  </sheetViews>
  <sheetFormatPr defaultRowHeight="15" x14ac:dyDescent="0.25"/>
  <cols>
    <col min="1" max="1" width="17.140625" customWidth="1"/>
    <col min="2" max="2" width="15.42578125" customWidth="1"/>
    <col min="8" max="8" width="25" customWidth="1"/>
    <col min="11" max="11" width="9.140625" customWidth="1"/>
  </cols>
  <sheetData>
    <row r="2" spans="1:15" x14ac:dyDescent="0.25">
      <c r="A2" t="s">
        <v>77</v>
      </c>
      <c r="B2">
        <f>$J$3</f>
        <v>0</v>
      </c>
      <c r="H2" s="3" t="s">
        <v>78</v>
      </c>
      <c r="I2" t="s">
        <v>79</v>
      </c>
      <c r="J2" t="s">
        <v>80</v>
      </c>
      <c r="K2" t="s">
        <v>81</v>
      </c>
      <c r="L2" t="s">
        <v>82</v>
      </c>
      <c r="M2" t="s">
        <v>83</v>
      </c>
      <c r="N2" t="s">
        <v>84</v>
      </c>
      <c r="O2" t="s">
        <v>85</v>
      </c>
    </row>
    <row r="3" spans="1:15" x14ac:dyDescent="0.25">
      <c r="B3">
        <f>$K$3</f>
        <v>0</v>
      </c>
      <c r="H3" t="s">
        <v>77</v>
      </c>
      <c r="I3">
        <f>'CIA-Environment'!L42</f>
        <v>20</v>
      </c>
      <c r="J3">
        <f>IF(AND(I3&lt;20, I3&gt;=4),1,0)</f>
        <v>0</v>
      </c>
      <c r="K3">
        <f>IF(AND(I3&gt;0,I3&lt;=3),1,0)</f>
        <v>0</v>
      </c>
      <c r="L3">
        <f>IF(I3=0,1,0)</f>
        <v>0</v>
      </c>
      <c r="M3">
        <f>IF(AND(I3&lt;0,I3&gt;=-3),1,0)</f>
        <v>0</v>
      </c>
      <c r="N3">
        <f>IF(I3&lt;=-4,1,0)</f>
        <v>0</v>
      </c>
      <c r="O3">
        <f>IF(I3&gt;=20,1,0)</f>
        <v>1</v>
      </c>
    </row>
    <row r="4" spans="1:15" x14ac:dyDescent="0.25">
      <c r="B4">
        <f>$L$3</f>
        <v>0</v>
      </c>
      <c r="H4" t="s">
        <v>86</v>
      </c>
      <c r="I4">
        <f>'CIA-Environment'!L59</f>
        <v>20</v>
      </c>
      <c r="J4">
        <f t="shared" ref="J4:J12" si="0">IF(AND(I4&lt;20, I4&gt;=4),1,0)</f>
        <v>0</v>
      </c>
      <c r="K4">
        <f t="shared" ref="K4:K12" si="1">IF(AND(I4&gt;0,I4&lt;=3),1,0)</f>
        <v>0</v>
      </c>
      <c r="L4">
        <f t="shared" ref="L4:L12" si="2">IF(I4=0,1,0)</f>
        <v>0</v>
      </c>
      <c r="M4">
        <f t="shared" ref="M4:M12" si="3">IF(AND(I4&lt;0,I4&gt;=-3),1,0)</f>
        <v>0</v>
      </c>
      <c r="N4">
        <f t="shared" ref="N4:N12" si="4">IF(I4&lt;=-4,1,0)</f>
        <v>0</v>
      </c>
      <c r="O4">
        <f t="shared" ref="O4:O12" si="5">IF(I4&gt;=20,1,0)</f>
        <v>1</v>
      </c>
    </row>
    <row r="5" spans="1:15" x14ac:dyDescent="0.25">
      <c r="B5">
        <f>$M$3</f>
        <v>0</v>
      </c>
      <c r="H5" t="s">
        <v>87</v>
      </c>
      <c r="I5">
        <f>'CIA-Environment'!L76</f>
        <v>20</v>
      </c>
      <c r="J5">
        <f t="shared" si="0"/>
        <v>0</v>
      </c>
      <c r="K5">
        <f t="shared" si="1"/>
        <v>0</v>
      </c>
      <c r="L5">
        <f t="shared" si="2"/>
        <v>0</v>
      </c>
      <c r="M5">
        <f t="shared" si="3"/>
        <v>0</v>
      </c>
      <c r="N5">
        <f t="shared" si="4"/>
        <v>0</v>
      </c>
      <c r="O5">
        <f t="shared" si="5"/>
        <v>1</v>
      </c>
    </row>
    <row r="6" spans="1:15" x14ac:dyDescent="0.25">
      <c r="B6">
        <f>$N$3</f>
        <v>0</v>
      </c>
      <c r="H6" t="s">
        <v>88</v>
      </c>
      <c r="I6">
        <f>'CIA-Environment'!L93</f>
        <v>20</v>
      </c>
      <c r="J6">
        <f t="shared" si="0"/>
        <v>0</v>
      </c>
      <c r="K6">
        <f t="shared" si="1"/>
        <v>0</v>
      </c>
      <c r="L6">
        <f t="shared" si="2"/>
        <v>0</v>
      </c>
      <c r="M6">
        <f t="shared" si="3"/>
        <v>0</v>
      </c>
      <c r="N6">
        <f t="shared" si="4"/>
        <v>0</v>
      </c>
      <c r="O6">
        <f t="shared" si="5"/>
        <v>1</v>
      </c>
    </row>
    <row r="7" spans="1:15" x14ac:dyDescent="0.25">
      <c r="B7">
        <f>$O$3</f>
        <v>1</v>
      </c>
      <c r="H7" t="s">
        <v>89</v>
      </c>
      <c r="I7">
        <f>'CIA-Environment'!L110</f>
        <v>20</v>
      </c>
      <c r="J7">
        <f t="shared" si="0"/>
        <v>0</v>
      </c>
      <c r="K7">
        <f t="shared" si="1"/>
        <v>0</v>
      </c>
      <c r="L7">
        <f t="shared" si="2"/>
        <v>0</v>
      </c>
      <c r="M7">
        <f t="shared" si="3"/>
        <v>0</v>
      </c>
      <c r="N7">
        <f t="shared" si="4"/>
        <v>0</v>
      </c>
      <c r="O7">
        <f t="shared" si="5"/>
        <v>1</v>
      </c>
    </row>
    <row r="8" spans="1:15" x14ac:dyDescent="0.25">
      <c r="A8" t="s">
        <v>90</v>
      </c>
      <c r="B8">
        <f>$J$4</f>
        <v>0</v>
      </c>
      <c r="H8" t="s">
        <v>242</v>
      </c>
      <c r="I8">
        <f>'CIA-Environment'!L127</f>
        <v>20</v>
      </c>
      <c r="J8">
        <f t="shared" si="0"/>
        <v>0</v>
      </c>
      <c r="K8">
        <f t="shared" si="1"/>
        <v>0</v>
      </c>
      <c r="L8">
        <f t="shared" si="2"/>
        <v>0</v>
      </c>
      <c r="M8">
        <f t="shared" si="3"/>
        <v>0</v>
      </c>
      <c r="N8">
        <f t="shared" si="4"/>
        <v>0</v>
      </c>
      <c r="O8">
        <f t="shared" si="5"/>
        <v>1</v>
      </c>
    </row>
    <row r="9" spans="1:15" x14ac:dyDescent="0.25">
      <c r="B9">
        <f>$K$4</f>
        <v>0</v>
      </c>
      <c r="H9" t="s">
        <v>91</v>
      </c>
      <c r="I9">
        <f>'CIA-Environment'!L144</f>
        <v>20</v>
      </c>
      <c r="J9">
        <f t="shared" si="0"/>
        <v>0</v>
      </c>
      <c r="K9">
        <f t="shared" si="1"/>
        <v>0</v>
      </c>
      <c r="L9">
        <f t="shared" si="2"/>
        <v>0</v>
      </c>
      <c r="M9">
        <f t="shared" si="3"/>
        <v>0</v>
      </c>
      <c r="N9">
        <f t="shared" si="4"/>
        <v>0</v>
      </c>
      <c r="O9">
        <f t="shared" si="5"/>
        <v>1</v>
      </c>
    </row>
    <row r="10" spans="1:15" x14ac:dyDescent="0.25">
      <c r="B10">
        <f>$L$4</f>
        <v>0</v>
      </c>
      <c r="H10" t="s">
        <v>92</v>
      </c>
      <c r="I10">
        <f>'CIA-Environment'!L161</f>
        <v>20</v>
      </c>
      <c r="J10">
        <f t="shared" si="0"/>
        <v>0</v>
      </c>
      <c r="K10">
        <f t="shared" si="1"/>
        <v>0</v>
      </c>
      <c r="L10">
        <f t="shared" si="2"/>
        <v>0</v>
      </c>
      <c r="M10">
        <f t="shared" si="3"/>
        <v>0</v>
      </c>
      <c r="N10">
        <f t="shared" si="4"/>
        <v>0</v>
      </c>
      <c r="O10">
        <f t="shared" si="5"/>
        <v>1</v>
      </c>
    </row>
    <row r="11" spans="1:15" x14ac:dyDescent="0.25">
      <c r="B11">
        <f>$M$4</f>
        <v>0</v>
      </c>
      <c r="H11" t="s">
        <v>93</v>
      </c>
      <c r="I11">
        <f>'CIA-Environment'!L178</f>
        <v>20</v>
      </c>
      <c r="J11">
        <f t="shared" si="0"/>
        <v>0</v>
      </c>
      <c r="K11">
        <f t="shared" si="1"/>
        <v>0</v>
      </c>
      <c r="L11">
        <f t="shared" si="2"/>
        <v>0</v>
      </c>
      <c r="M11">
        <f t="shared" si="3"/>
        <v>0</v>
      </c>
      <c r="N11">
        <f t="shared" si="4"/>
        <v>0</v>
      </c>
      <c r="O11">
        <f t="shared" si="5"/>
        <v>1</v>
      </c>
    </row>
    <row r="12" spans="1:15" x14ac:dyDescent="0.25">
      <c r="B12">
        <f>$N$4</f>
        <v>0</v>
      </c>
      <c r="H12" t="s">
        <v>94</v>
      </c>
      <c r="I12">
        <f>'CIA-Environment'!L195</f>
        <v>20</v>
      </c>
      <c r="J12">
        <f t="shared" si="0"/>
        <v>0</v>
      </c>
      <c r="K12">
        <f t="shared" si="1"/>
        <v>0</v>
      </c>
      <c r="L12">
        <f t="shared" si="2"/>
        <v>0</v>
      </c>
      <c r="M12">
        <f t="shared" si="3"/>
        <v>0</v>
      </c>
      <c r="N12">
        <f t="shared" si="4"/>
        <v>0</v>
      </c>
      <c r="O12">
        <f t="shared" si="5"/>
        <v>1</v>
      </c>
    </row>
    <row r="13" spans="1:15" x14ac:dyDescent="0.25">
      <c r="B13">
        <f>$O$4</f>
        <v>1</v>
      </c>
    </row>
    <row r="14" spans="1:15" x14ac:dyDescent="0.25">
      <c r="A14" t="s">
        <v>95</v>
      </c>
      <c r="B14">
        <f>$J$5</f>
        <v>0</v>
      </c>
    </row>
    <row r="15" spans="1:15" x14ac:dyDescent="0.25">
      <c r="B15">
        <f>$K$5</f>
        <v>0</v>
      </c>
    </row>
    <row r="16" spans="1:15" x14ac:dyDescent="0.25">
      <c r="B16">
        <f>$L$5</f>
        <v>0</v>
      </c>
    </row>
    <row r="17" spans="1:2" x14ac:dyDescent="0.25">
      <c r="B17">
        <f>$M$5</f>
        <v>0</v>
      </c>
    </row>
    <row r="18" spans="1:2" x14ac:dyDescent="0.25">
      <c r="B18">
        <f>$N$5</f>
        <v>0</v>
      </c>
    </row>
    <row r="19" spans="1:2" x14ac:dyDescent="0.25">
      <c r="B19">
        <f>$O$5</f>
        <v>1</v>
      </c>
    </row>
    <row r="20" spans="1:2" x14ac:dyDescent="0.25">
      <c r="A20" t="s">
        <v>88</v>
      </c>
      <c r="B20">
        <f>$J$6</f>
        <v>0</v>
      </c>
    </row>
    <row r="21" spans="1:2" x14ac:dyDescent="0.25">
      <c r="B21">
        <f>$K$6</f>
        <v>0</v>
      </c>
    </row>
    <row r="22" spans="1:2" x14ac:dyDescent="0.25">
      <c r="B22">
        <f>$L$6</f>
        <v>0</v>
      </c>
    </row>
    <row r="23" spans="1:2" x14ac:dyDescent="0.25">
      <c r="B23">
        <f>$M$6</f>
        <v>0</v>
      </c>
    </row>
    <row r="24" spans="1:2" x14ac:dyDescent="0.25">
      <c r="B24">
        <f>$N$6</f>
        <v>0</v>
      </c>
    </row>
    <row r="25" spans="1:2" x14ac:dyDescent="0.25">
      <c r="B25">
        <f>$O$6</f>
        <v>1</v>
      </c>
    </row>
    <row r="26" spans="1:2" x14ac:dyDescent="0.25">
      <c r="A26" t="s">
        <v>89</v>
      </c>
      <c r="B26">
        <f>$J$7</f>
        <v>0</v>
      </c>
    </row>
    <row r="27" spans="1:2" x14ac:dyDescent="0.25">
      <c r="B27">
        <f>$K$7</f>
        <v>0</v>
      </c>
    </row>
    <row r="28" spans="1:2" x14ac:dyDescent="0.25">
      <c r="B28">
        <f>$L$7</f>
        <v>0</v>
      </c>
    </row>
    <row r="29" spans="1:2" x14ac:dyDescent="0.25">
      <c r="B29">
        <f>$M$7</f>
        <v>0</v>
      </c>
    </row>
    <row r="30" spans="1:2" x14ac:dyDescent="0.25">
      <c r="B30">
        <f>$N$7</f>
        <v>0</v>
      </c>
    </row>
    <row r="31" spans="1:2" x14ac:dyDescent="0.25">
      <c r="B31">
        <f>$O$7</f>
        <v>1</v>
      </c>
    </row>
    <row r="32" spans="1:2" x14ac:dyDescent="0.25">
      <c r="A32" t="s">
        <v>242</v>
      </c>
      <c r="B32">
        <f>$J$8</f>
        <v>0</v>
      </c>
    </row>
    <row r="33" spans="1:2" x14ac:dyDescent="0.25">
      <c r="B33">
        <f>$K$8</f>
        <v>0</v>
      </c>
    </row>
    <row r="34" spans="1:2" x14ac:dyDescent="0.25">
      <c r="B34">
        <f>$L$8</f>
        <v>0</v>
      </c>
    </row>
    <row r="35" spans="1:2" x14ac:dyDescent="0.25">
      <c r="B35">
        <f>$M$8</f>
        <v>0</v>
      </c>
    </row>
    <row r="36" spans="1:2" x14ac:dyDescent="0.25">
      <c r="B36">
        <f>$N$8</f>
        <v>0</v>
      </c>
    </row>
    <row r="37" spans="1:2" x14ac:dyDescent="0.25">
      <c r="B37">
        <f>$O$8</f>
        <v>1</v>
      </c>
    </row>
    <row r="38" spans="1:2" x14ac:dyDescent="0.25">
      <c r="A38" t="s">
        <v>96</v>
      </c>
      <c r="B38">
        <f>$J$9</f>
        <v>0</v>
      </c>
    </row>
    <row r="39" spans="1:2" x14ac:dyDescent="0.25">
      <c r="B39">
        <f>$K$9</f>
        <v>0</v>
      </c>
    </row>
    <row r="40" spans="1:2" x14ac:dyDescent="0.25">
      <c r="B40">
        <f>$L$9</f>
        <v>0</v>
      </c>
    </row>
    <row r="41" spans="1:2" x14ac:dyDescent="0.25">
      <c r="B41">
        <f>$M$9</f>
        <v>0</v>
      </c>
    </row>
    <row r="42" spans="1:2" x14ac:dyDescent="0.25">
      <c r="B42">
        <f>$N$9</f>
        <v>0</v>
      </c>
    </row>
    <row r="43" spans="1:2" x14ac:dyDescent="0.25">
      <c r="B43">
        <f>$O$9</f>
        <v>1</v>
      </c>
    </row>
    <row r="44" spans="1:2" x14ac:dyDescent="0.25">
      <c r="A44" t="s">
        <v>97</v>
      </c>
      <c r="B44">
        <f>$J$10</f>
        <v>0</v>
      </c>
    </row>
    <row r="45" spans="1:2" x14ac:dyDescent="0.25">
      <c r="B45">
        <f>$K$10</f>
        <v>0</v>
      </c>
    </row>
    <row r="46" spans="1:2" x14ac:dyDescent="0.25">
      <c r="B46">
        <f>$L$10</f>
        <v>0</v>
      </c>
    </row>
    <row r="47" spans="1:2" x14ac:dyDescent="0.25">
      <c r="B47">
        <f>$M$10</f>
        <v>0</v>
      </c>
    </row>
    <row r="48" spans="1:2" x14ac:dyDescent="0.25">
      <c r="B48">
        <f>$N$10</f>
        <v>0</v>
      </c>
    </row>
    <row r="49" spans="1:2" x14ac:dyDescent="0.25">
      <c r="B49">
        <f>$O$10</f>
        <v>1</v>
      </c>
    </row>
    <row r="50" spans="1:2" x14ac:dyDescent="0.25">
      <c r="A50" t="s">
        <v>98</v>
      </c>
      <c r="B50">
        <f>$J$11</f>
        <v>0</v>
      </c>
    </row>
    <row r="51" spans="1:2" x14ac:dyDescent="0.25">
      <c r="B51">
        <f>$K$11</f>
        <v>0</v>
      </c>
    </row>
    <row r="52" spans="1:2" x14ac:dyDescent="0.25">
      <c r="B52">
        <f>$L$11</f>
        <v>0</v>
      </c>
    </row>
    <row r="53" spans="1:2" x14ac:dyDescent="0.25">
      <c r="B53">
        <f>$M$11</f>
        <v>0</v>
      </c>
    </row>
    <row r="54" spans="1:2" x14ac:dyDescent="0.25">
      <c r="B54">
        <f>$N$11</f>
        <v>0</v>
      </c>
    </row>
    <row r="55" spans="1:2" x14ac:dyDescent="0.25">
      <c r="B55">
        <f>$O$11</f>
        <v>1</v>
      </c>
    </row>
    <row r="56" spans="1:2" x14ac:dyDescent="0.25">
      <c r="A56" t="s">
        <v>99</v>
      </c>
      <c r="B56">
        <f>$J$12</f>
        <v>0</v>
      </c>
    </row>
    <row r="57" spans="1:2" x14ac:dyDescent="0.25">
      <c r="B57">
        <f>$K$12</f>
        <v>0</v>
      </c>
    </row>
    <row r="58" spans="1:2" x14ac:dyDescent="0.25">
      <c r="B58">
        <f>$L$12</f>
        <v>0</v>
      </c>
    </row>
    <row r="59" spans="1:2" x14ac:dyDescent="0.25">
      <c r="B59">
        <f>$M$12</f>
        <v>0</v>
      </c>
    </row>
    <row r="60" spans="1:2" x14ac:dyDescent="0.25">
      <c r="B60">
        <f>$N$12</f>
        <v>0</v>
      </c>
    </row>
    <row r="61" spans="1:2" x14ac:dyDescent="0.25">
      <c r="B61">
        <f>$O$12</f>
        <v>1</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2:O67"/>
  <sheetViews>
    <sheetView workbookViewId="0">
      <selection activeCell="G31" sqref="G31"/>
    </sheetView>
  </sheetViews>
  <sheetFormatPr defaultColWidth="8.7109375" defaultRowHeight="15" x14ac:dyDescent="0.25"/>
  <cols>
    <col min="8" max="8" width="25" customWidth="1"/>
    <col min="11" max="11" width="9.140625" customWidth="1"/>
  </cols>
  <sheetData>
    <row r="2" spans="1:15" x14ac:dyDescent="0.25">
      <c r="A2" t="s">
        <v>100</v>
      </c>
      <c r="B2">
        <f>$J$3</f>
        <v>0</v>
      </c>
      <c r="H2" s="3" t="s">
        <v>0</v>
      </c>
      <c r="I2" t="s">
        <v>79</v>
      </c>
      <c r="J2" t="s">
        <v>80</v>
      </c>
      <c r="K2" t="s">
        <v>81</v>
      </c>
      <c r="L2" t="s">
        <v>82</v>
      </c>
      <c r="M2" t="s">
        <v>83</v>
      </c>
      <c r="N2" t="s">
        <v>84</v>
      </c>
      <c r="O2" t="s">
        <v>85</v>
      </c>
    </row>
    <row r="3" spans="1:15" x14ac:dyDescent="0.25">
      <c r="B3">
        <f>$K$3</f>
        <v>0</v>
      </c>
      <c r="H3" t="s">
        <v>100</v>
      </c>
      <c r="I3">
        <f>'CIA-Social'!L16</f>
        <v>20</v>
      </c>
      <c r="J3">
        <f>IF(AND(I3&lt;20,I3&gt;=4),1,0)</f>
        <v>0</v>
      </c>
      <c r="K3">
        <f>IF(AND(I3&gt;0,I3&lt;=3),1,0)</f>
        <v>0</v>
      </c>
      <c r="L3">
        <f>IF(I3=0,1,0)</f>
        <v>0</v>
      </c>
      <c r="M3">
        <f>IF(AND(I3&lt;0,I3&gt;=-3),1,0)</f>
        <v>0</v>
      </c>
      <c r="N3">
        <f>IF(I3&lt;=-4,1,0)</f>
        <v>0</v>
      </c>
      <c r="O3">
        <f>IF(I3&gt;=20,1,0)</f>
        <v>1</v>
      </c>
    </row>
    <row r="4" spans="1:15" x14ac:dyDescent="0.25">
      <c r="B4">
        <f>$L$3</f>
        <v>0</v>
      </c>
      <c r="H4" t="s">
        <v>101</v>
      </c>
      <c r="I4">
        <f>'CIA-Social'!L33</f>
        <v>20</v>
      </c>
      <c r="J4">
        <f t="shared" ref="J4:J13" si="0">IF(AND(I4&lt;20,I4&gt;=4),1,0)</f>
        <v>0</v>
      </c>
      <c r="K4">
        <f t="shared" ref="K4:K13" si="1">IF(AND(I4&gt;0,I4&lt;=3),1,0)</f>
        <v>0</v>
      </c>
      <c r="L4">
        <f t="shared" ref="L4:L13" si="2">IF(I4=0,1,0)</f>
        <v>0</v>
      </c>
      <c r="M4">
        <f t="shared" ref="M4:M13" si="3">IF(AND(I4&lt;0,I4&gt;=-3),1,0)</f>
        <v>0</v>
      </c>
      <c r="N4">
        <f t="shared" ref="N4:N13" si="4">IF(I4&lt;=-4,1,0)</f>
        <v>0</v>
      </c>
      <c r="O4">
        <f t="shared" ref="O4:O13" si="5">IF(I4&gt;=20,1,0)</f>
        <v>1</v>
      </c>
    </row>
    <row r="5" spans="1:15" x14ac:dyDescent="0.25">
      <c r="B5">
        <f>$M$3</f>
        <v>0</v>
      </c>
      <c r="H5" t="s">
        <v>102</v>
      </c>
      <c r="I5">
        <f>'CIA-Social'!L50</f>
        <v>20</v>
      </c>
      <c r="J5">
        <f t="shared" si="0"/>
        <v>0</v>
      </c>
      <c r="K5">
        <f t="shared" si="1"/>
        <v>0</v>
      </c>
      <c r="L5">
        <f t="shared" si="2"/>
        <v>0</v>
      </c>
      <c r="M5">
        <f t="shared" si="3"/>
        <v>0</v>
      </c>
      <c r="N5">
        <f t="shared" si="4"/>
        <v>0</v>
      </c>
      <c r="O5">
        <f t="shared" si="5"/>
        <v>1</v>
      </c>
    </row>
    <row r="6" spans="1:15" x14ac:dyDescent="0.25">
      <c r="B6">
        <f>$N$3</f>
        <v>0</v>
      </c>
      <c r="H6" t="s">
        <v>103</v>
      </c>
      <c r="I6">
        <f>'CIA-Social'!L67</f>
        <v>20</v>
      </c>
      <c r="J6">
        <f t="shared" si="0"/>
        <v>0</v>
      </c>
      <c r="K6">
        <f t="shared" si="1"/>
        <v>0</v>
      </c>
      <c r="L6">
        <f t="shared" si="2"/>
        <v>0</v>
      </c>
      <c r="M6">
        <f t="shared" si="3"/>
        <v>0</v>
      </c>
      <c r="N6">
        <f t="shared" si="4"/>
        <v>0</v>
      </c>
      <c r="O6">
        <f t="shared" si="5"/>
        <v>1</v>
      </c>
    </row>
    <row r="7" spans="1:15" x14ac:dyDescent="0.25">
      <c r="B7">
        <f>$O$3</f>
        <v>1</v>
      </c>
      <c r="H7" t="s">
        <v>104</v>
      </c>
      <c r="I7">
        <f>'CIA-Social'!L84</f>
        <v>20</v>
      </c>
      <c r="J7">
        <f t="shared" si="0"/>
        <v>0</v>
      </c>
      <c r="K7">
        <f t="shared" si="1"/>
        <v>0</v>
      </c>
      <c r="L7">
        <f t="shared" si="2"/>
        <v>0</v>
      </c>
      <c r="M7">
        <f t="shared" si="3"/>
        <v>0</v>
      </c>
      <c r="N7">
        <f t="shared" si="4"/>
        <v>0</v>
      </c>
      <c r="O7">
        <f t="shared" si="5"/>
        <v>1</v>
      </c>
    </row>
    <row r="8" spans="1:15" x14ac:dyDescent="0.25">
      <c r="A8" t="s">
        <v>105</v>
      </c>
      <c r="B8">
        <f>$J$4</f>
        <v>0</v>
      </c>
      <c r="H8" t="s">
        <v>106</v>
      </c>
      <c r="I8">
        <f>'CIA-Social'!L101</f>
        <v>20</v>
      </c>
      <c r="J8">
        <f t="shared" si="0"/>
        <v>0</v>
      </c>
      <c r="K8">
        <f t="shared" si="1"/>
        <v>0</v>
      </c>
      <c r="L8">
        <f t="shared" si="2"/>
        <v>0</v>
      </c>
      <c r="M8">
        <f t="shared" si="3"/>
        <v>0</v>
      </c>
      <c r="N8">
        <f t="shared" si="4"/>
        <v>0</v>
      </c>
      <c r="O8">
        <f t="shared" si="5"/>
        <v>1</v>
      </c>
    </row>
    <row r="9" spans="1:15" x14ac:dyDescent="0.25">
      <c r="B9">
        <f>$K$4</f>
        <v>0</v>
      </c>
      <c r="H9" t="s">
        <v>107</v>
      </c>
      <c r="I9">
        <f>'CIA-Social'!L118</f>
        <v>20</v>
      </c>
      <c r="J9">
        <f t="shared" si="0"/>
        <v>0</v>
      </c>
      <c r="K9">
        <f t="shared" si="1"/>
        <v>0</v>
      </c>
      <c r="L9">
        <f t="shared" si="2"/>
        <v>0</v>
      </c>
      <c r="M9">
        <f t="shared" si="3"/>
        <v>0</v>
      </c>
      <c r="N9">
        <f t="shared" si="4"/>
        <v>0</v>
      </c>
      <c r="O9">
        <f t="shared" si="5"/>
        <v>1</v>
      </c>
    </row>
    <row r="10" spans="1:15" x14ac:dyDescent="0.25">
      <c r="B10">
        <f>$L$4</f>
        <v>0</v>
      </c>
      <c r="H10" t="s">
        <v>108</v>
      </c>
      <c r="I10">
        <f>'CIA-Social'!L135</f>
        <v>20</v>
      </c>
      <c r="J10">
        <f t="shared" si="0"/>
        <v>0</v>
      </c>
      <c r="K10">
        <f t="shared" si="1"/>
        <v>0</v>
      </c>
      <c r="L10">
        <f t="shared" si="2"/>
        <v>0</v>
      </c>
      <c r="M10">
        <f t="shared" si="3"/>
        <v>0</v>
      </c>
      <c r="N10">
        <f t="shared" si="4"/>
        <v>0</v>
      </c>
      <c r="O10">
        <f t="shared" si="5"/>
        <v>1</v>
      </c>
    </row>
    <row r="11" spans="1:15" x14ac:dyDescent="0.25">
      <c r="B11">
        <f>$M$4</f>
        <v>0</v>
      </c>
      <c r="H11" t="s">
        <v>109</v>
      </c>
      <c r="I11">
        <f>'CIA-Social'!L152</f>
        <v>20</v>
      </c>
      <c r="J11">
        <f t="shared" si="0"/>
        <v>0</v>
      </c>
      <c r="K11">
        <f t="shared" si="1"/>
        <v>0</v>
      </c>
      <c r="L11">
        <f t="shared" si="2"/>
        <v>0</v>
      </c>
      <c r="M11">
        <f t="shared" si="3"/>
        <v>0</v>
      </c>
      <c r="N11">
        <f t="shared" si="4"/>
        <v>0</v>
      </c>
      <c r="O11">
        <f t="shared" si="5"/>
        <v>1</v>
      </c>
    </row>
    <row r="12" spans="1:15" x14ac:dyDescent="0.25">
      <c r="B12">
        <f>$N$4</f>
        <v>0</v>
      </c>
      <c r="H12" t="s">
        <v>110</v>
      </c>
      <c r="I12">
        <f>'CIA-Social'!L186</f>
        <v>20</v>
      </c>
      <c r="J12">
        <f t="shared" si="0"/>
        <v>0</v>
      </c>
      <c r="K12">
        <f t="shared" si="1"/>
        <v>0</v>
      </c>
      <c r="L12">
        <f t="shared" si="2"/>
        <v>0</v>
      </c>
      <c r="M12">
        <f t="shared" si="3"/>
        <v>0</v>
      </c>
      <c r="N12">
        <f t="shared" si="4"/>
        <v>0</v>
      </c>
      <c r="O12">
        <f t="shared" si="5"/>
        <v>1</v>
      </c>
    </row>
    <row r="13" spans="1:15" x14ac:dyDescent="0.25">
      <c r="B13">
        <f>$O$4</f>
        <v>1</v>
      </c>
      <c r="H13" t="s">
        <v>111</v>
      </c>
      <c r="I13">
        <f>'CIA-Social'!L169</f>
        <v>20</v>
      </c>
      <c r="J13">
        <f t="shared" si="0"/>
        <v>0</v>
      </c>
      <c r="K13">
        <f t="shared" si="1"/>
        <v>0</v>
      </c>
      <c r="L13">
        <f t="shared" si="2"/>
        <v>0</v>
      </c>
      <c r="M13">
        <f t="shared" si="3"/>
        <v>0</v>
      </c>
      <c r="N13">
        <f t="shared" si="4"/>
        <v>0</v>
      </c>
      <c r="O13">
        <f t="shared" si="5"/>
        <v>1</v>
      </c>
    </row>
    <row r="14" spans="1:15" x14ac:dyDescent="0.25">
      <c r="A14" t="s">
        <v>112</v>
      </c>
      <c r="B14">
        <f>$J$5</f>
        <v>0</v>
      </c>
    </row>
    <row r="15" spans="1:15" x14ac:dyDescent="0.25">
      <c r="B15">
        <f>$K$5</f>
        <v>0</v>
      </c>
    </row>
    <row r="16" spans="1:15" x14ac:dyDescent="0.25">
      <c r="B16">
        <f>$L$5</f>
        <v>0</v>
      </c>
    </row>
    <row r="17" spans="1:2" x14ac:dyDescent="0.25">
      <c r="B17">
        <f>$M$5</f>
        <v>0</v>
      </c>
    </row>
    <row r="18" spans="1:2" x14ac:dyDescent="0.25">
      <c r="B18">
        <f>$N$5</f>
        <v>0</v>
      </c>
    </row>
    <row r="19" spans="1:2" x14ac:dyDescent="0.25">
      <c r="B19">
        <f>$O$5</f>
        <v>1</v>
      </c>
    </row>
    <row r="20" spans="1:2" x14ac:dyDescent="0.25">
      <c r="A20" t="s">
        <v>113</v>
      </c>
      <c r="B20">
        <f>$J$6</f>
        <v>0</v>
      </c>
    </row>
    <row r="21" spans="1:2" x14ac:dyDescent="0.25">
      <c r="B21">
        <f>$K$6</f>
        <v>0</v>
      </c>
    </row>
    <row r="22" spans="1:2" x14ac:dyDescent="0.25">
      <c r="B22">
        <f>$L$6</f>
        <v>0</v>
      </c>
    </row>
    <row r="23" spans="1:2" x14ac:dyDescent="0.25">
      <c r="B23">
        <f>$M$6</f>
        <v>0</v>
      </c>
    </row>
    <row r="24" spans="1:2" x14ac:dyDescent="0.25">
      <c r="B24">
        <f>$N$6</f>
        <v>0</v>
      </c>
    </row>
    <row r="25" spans="1:2" x14ac:dyDescent="0.25">
      <c r="B25">
        <f>$O$6</f>
        <v>1</v>
      </c>
    </row>
    <row r="26" spans="1:2" x14ac:dyDescent="0.25">
      <c r="A26" t="s">
        <v>114</v>
      </c>
      <c r="B26">
        <f>$J$7</f>
        <v>0</v>
      </c>
    </row>
    <row r="27" spans="1:2" x14ac:dyDescent="0.25">
      <c r="B27">
        <f>$K$7</f>
        <v>0</v>
      </c>
    </row>
    <row r="28" spans="1:2" x14ac:dyDescent="0.25">
      <c r="B28">
        <f>$L$7</f>
        <v>0</v>
      </c>
    </row>
    <row r="29" spans="1:2" x14ac:dyDescent="0.25">
      <c r="B29">
        <f>$M$7</f>
        <v>0</v>
      </c>
    </row>
    <row r="30" spans="1:2" x14ac:dyDescent="0.25">
      <c r="B30">
        <f>$N$7</f>
        <v>0</v>
      </c>
    </row>
    <row r="31" spans="1:2" x14ac:dyDescent="0.25">
      <c r="B31">
        <f>$O$7</f>
        <v>1</v>
      </c>
    </row>
    <row r="32" spans="1:2" x14ac:dyDescent="0.25">
      <c r="A32" t="s">
        <v>115</v>
      </c>
      <c r="B32">
        <f>$J$8</f>
        <v>0</v>
      </c>
    </row>
    <row r="33" spans="1:2" x14ac:dyDescent="0.25">
      <c r="B33">
        <f>$K$8</f>
        <v>0</v>
      </c>
    </row>
    <row r="34" spans="1:2" x14ac:dyDescent="0.25">
      <c r="B34">
        <f>$L$8</f>
        <v>0</v>
      </c>
    </row>
    <row r="35" spans="1:2" x14ac:dyDescent="0.25">
      <c r="B35">
        <f>$M$8</f>
        <v>0</v>
      </c>
    </row>
    <row r="36" spans="1:2" x14ac:dyDescent="0.25">
      <c r="B36">
        <f>$N$8</f>
        <v>0</v>
      </c>
    </row>
    <row r="37" spans="1:2" x14ac:dyDescent="0.25">
      <c r="B37">
        <f>$O$8</f>
        <v>1</v>
      </c>
    </row>
    <row r="38" spans="1:2" x14ac:dyDescent="0.25">
      <c r="A38" t="s">
        <v>116</v>
      </c>
      <c r="B38">
        <f>$J$9</f>
        <v>0</v>
      </c>
    </row>
    <row r="39" spans="1:2" x14ac:dyDescent="0.25">
      <c r="B39">
        <f>$K$9</f>
        <v>0</v>
      </c>
    </row>
    <row r="40" spans="1:2" x14ac:dyDescent="0.25">
      <c r="B40">
        <f>$L$9</f>
        <v>0</v>
      </c>
    </row>
    <row r="41" spans="1:2" x14ac:dyDescent="0.25">
      <c r="B41">
        <f>$M$9</f>
        <v>0</v>
      </c>
    </row>
    <row r="42" spans="1:2" x14ac:dyDescent="0.25">
      <c r="B42">
        <f>$N$9</f>
        <v>0</v>
      </c>
    </row>
    <row r="43" spans="1:2" x14ac:dyDescent="0.25">
      <c r="B43">
        <f>$O$9</f>
        <v>1</v>
      </c>
    </row>
    <row r="44" spans="1:2" x14ac:dyDescent="0.25">
      <c r="A44" t="s">
        <v>117</v>
      </c>
      <c r="B44">
        <f>$J$10</f>
        <v>0</v>
      </c>
    </row>
    <row r="45" spans="1:2" x14ac:dyDescent="0.25">
      <c r="B45">
        <f>$K$10</f>
        <v>0</v>
      </c>
    </row>
    <row r="46" spans="1:2" x14ac:dyDescent="0.25">
      <c r="B46">
        <f>$L$10</f>
        <v>0</v>
      </c>
    </row>
    <row r="47" spans="1:2" x14ac:dyDescent="0.25">
      <c r="B47">
        <f>$M$10</f>
        <v>0</v>
      </c>
    </row>
    <row r="48" spans="1:2" x14ac:dyDescent="0.25">
      <c r="B48">
        <f>$N$10</f>
        <v>0</v>
      </c>
    </row>
    <row r="49" spans="1:2" x14ac:dyDescent="0.25">
      <c r="B49">
        <f>$O$10</f>
        <v>1</v>
      </c>
    </row>
    <row r="50" spans="1:2" x14ac:dyDescent="0.25">
      <c r="A50" t="s">
        <v>118</v>
      </c>
      <c r="B50">
        <f>$J$11</f>
        <v>0</v>
      </c>
    </row>
    <row r="51" spans="1:2" x14ac:dyDescent="0.25">
      <c r="B51">
        <f>$K$11</f>
        <v>0</v>
      </c>
    </row>
    <row r="52" spans="1:2" x14ac:dyDescent="0.25">
      <c r="B52">
        <f>$L$11</f>
        <v>0</v>
      </c>
    </row>
    <row r="53" spans="1:2" x14ac:dyDescent="0.25">
      <c r="B53">
        <f>$M$11</f>
        <v>0</v>
      </c>
    </row>
    <row r="54" spans="1:2" x14ac:dyDescent="0.25">
      <c r="B54">
        <f>$N$11</f>
        <v>0</v>
      </c>
    </row>
    <row r="55" spans="1:2" x14ac:dyDescent="0.25">
      <c r="B55">
        <f>$O$11</f>
        <v>1</v>
      </c>
    </row>
    <row r="56" spans="1:2" x14ac:dyDescent="0.25">
      <c r="A56" t="s">
        <v>119</v>
      </c>
      <c r="B56">
        <f>$J$12</f>
        <v>0</v>
      </c>
    </row>
    <row r="57" spans="1:2" x14ac:dyDescent="0.25">
      <c r="B57">
        <f>$K$12</f>
        <v>0</v>
      </c>
    </row>
    <row r="58" spans="1:2" x14ac:dyDescent="0.25">
      <c r="B58">
        <f>$L$12</f>
        <v>0</v>
      </c>
    </row>
    <row r="59" spans="1:2" x14ac:dyDescent="0.25">
      <c r="B59">
        <f>$M$12</f>
        <v>0</v>
      </c>
    </row>
    <row r="60" spans="1:2" x14ac:dyDescent="0.25">
      <c r="B60">
        <f>$N$12</f>
        <v>0</v>
      </c>
    </row>
    <row r="61" spans="1:2" x14ac:dyDescent="0.25">
      <c r="B61">
        <f>$O$12</f>
        <v>1</v>
      </c>
    </row>
    <row r="62" spans="1:2" x14ac:dyDescent="0.25">
      <c r="A62" t="s">
        <v>120</v>
      </c>
      <c r="B62">
        <f>$J$13</f>
        <v>0</v>
      </c>
    </row>
    <row r="63" spans="1:2" x14ac:dyDescent="0.25">
      <c r="B63">
        <f>$K$13</f>
        <v>0</v>
      </c>
    </row>
    <row r="64" spans="1:2" x14ac:dyDescent="0.25">
      <c r="B64">
        <f>$L$13</f>
        <v>0</v>
      </c>
    </row>
    <row r="65" spans="2:2" x14ac:dyDescent="0.25">
      <c r="B65">
        <f>$M$13</f>
        <v>0</v>
      </c>
    </row>
    <row r="66" spans="2:2" x14ac:dyDescent="0.25">
      <c r="B66">
        <f>$N$13</f>
        <v>0</v>
      </c>
    </row>
    <row r="67" spans="2:2" x14ac:dyDescent="0.25">
      <c r="B67">
        <f>$O$13</f>
        <v>1</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4"/>
  <sheetViews>
    <sheetView workbookViewId="0">
      <selection activeCell="C15" sqref="C15"/>
    </sheetView>
  </sheetViews>
  <sheetFormatPr defaultRowHeight="15" x14ac:dyDescent="0.25"/>
  <cols>
    <col min="1" max="1" width="21.140625" customWidth="1"/>
    <col min="2" max="2" width="40.140625" customWidth="1"/>
    <col min="3" max="3" width="54.7109375" customWidth="1"/>
    <col min="4" max="4" width="32.42578125" bestFit="1" customWidth="1"/>
    <col min="5" max="5" width="36.42578125" customWidth="1"/>
    <col min="6" max="6" width="54" customWidth="1"/>
  </cols>
  <sheetData>
    <row r="2" spans="1:5" x14ac:dyDescent="0.25">
      <c r="A2" s="182" t="s">
        <v>271</v>
      </c>
      <c r="B2" s="182" t="s">
        <v>272</v>
      </c>
      <c r="D2" s="67" t="s">
        <v>386</v>
      </c>
      <c r="E2" s="67" t="s">
        <v>403</v>
      </c>
    </row>
    <row r="3" spans="1:5" x14ac:dyDescent="0.25">
      <c r="A3" s="182" t="s">
        <v>364</v>
      </c>
      <c r="B3" s="1">
        <f>COUNTIF('CIA-Screening'!E6:E12,"No")</f>
        <v>0</v>
      </c>
      <c r="D3" t="str">
        <f>IF(B3=7,"NO EXCEPTION/S APPLY - PROCEED TO THRESHOLDS SECTION",IF(B5&gt;0,"EXCEPTIONS SECTION INCOMPLETE",IF(B4&gt;0,"EXCEPTION/S APPLY - NO CIA REQUIRED",IF(AND(B3=7,B7=5),"NO CIA REQUIRED",IF(AND(B3=7,B8=5),"NO CIA REQUIRED",IF(AND(B3=7,B6&gt;0),"CIA REQUIRED",IF(AND(B3=7,B8&gt;0),"THRESHOLDS SECTION INCOMPLETE")))))))</f>
        <v>EXCEPTIONS SECTION INCOMPLETE</v>
      </c>
    </row>
    <row r="4" spans="1:5" x14ac:dyDescent="0.25">
      <c r="A4" s="182" t="s">
        <v>365</v>
      </c>
      <c r="B4" s="1">
        <f>COUNTIF('CIA-Screening'!E6:E12,"Yes")</f>
        <v>0</v>
      </c>
      <c r="D4" t="s">
        <v>385</v>
      </c>
    </row>
    <row r="5" spans="1:5" x14ac:dyDescent="0.25">
      <c r="A5" s="182" t="s">
        <v>366</v>
      </c>
      <c r="B5" s="1">
        <f>COUNTIF('CIA-Screening'!E6:E12,"")</f>
        <v>7</v>
      </c>
      <c r="D5" t="str">
        <f>IF(FORMULAS!B4&gt;0,"EXCEPTION/S APPLY - NO CIA REQUIRED",IF(FORMULAS!B8&gt;0,"THRESHOLDS SECTION INCOMPLETE",IF(FORMULAS!B5&gt;0,"EXCEPTIONS SECTION INCOMPLETE",IF(FORMULAS!B6&gt;0,"CIA REQUIRED",IF(FORMULAS!B8&gt;0,"THRESHOLD SECTION INCOMPLETE",IF(AND(FORMULAS!B7=4,FORMULAS!B8=0),"NO CIA REQUIRED"))))))</f>
        <v>THRESHOLDS SECTION INCOMPLETE</v>
      </c>
      <c r="E5" t="str">
        <f>IF(FORMULAS!B4&gt;0,"EXCEPTION/S APPLY - NO CIA REQUIRED",IF(FORMULAS!B8&gt;0,"Screening questions incomplete",IF(FORMULAS!B5&gt;0,"Screening questions incomplete",IF(FORMULAS!B6&gt;0,"CIA REQUIRED",IF(FORMULAS!B8&gt;0,"SCREENING INCOMPLETE",IF(AND(FORMULAS!B7=4,FORMULAS!B8=0),"NO CIA REQUIRED"))))))</f>
        <v>Screening questions incomplete</v>
      </c>
    </row>
    <row r="6" spans="1:5" x14ac:dyDescent="0.25">
      <c r="A6" s="182" t="s">
        <v>362</v>
      </c>
      <c r="B6" s="1">
        <f>COUNTIF('CIA-Screening'!E18:E21,"Yes")</f>
        <v>0</v>
      </c>
    </row>
    <row r="7" spans="1:5" x14ac:dyDescent="0.25">
      <c r="A7" s="182" t="s">
        <v>361</v>
      </c>
      <c r="B7" s="1">
        <f>COUNTIF('CIA-Screening'!E18:E21,"No")</f>
        <v>0</v>
      </c>
      <c r="C7" s="29"/>
    </row>
    <row r="8" spans="1:5" x14ac:dyDescent="0.25">
      <c r="A8" s="182" t="s">
        <v>360</v>
      </c>
      <c r="B8" s="1">
        <f>COUNTIF('CIA-Screening'!E18:E21,"")</f>
        <v>4</v>
      </c>
      <c r="C8" s="29"/>
      <c r="D8" s="29"/>
    </row>
    <row r="10" spans="1:5" x14ac:dyDescent="0.25">
      <c r="B10" s="42"/>
    </row>
    <row r="11" spans="1:5" x14ac:dyDescent="0.25">
      <c r="A11" s="274" t="s">
        <v>368</v>
      </c>
      <c r="B11" s="180" t="s">
        <v>369</v>
      </c>
      <c r="C11" s="1" t="s">
        <v>426</v>
      </c>
    </row>
    <row r="12" spans="1:5" x14ac:dyDescent="0.25">
      <c r="A12" s="275"/>
      <c r="B12" s="1" t="s">
        <v>372</v>
      </c>
      <c r="C12" s="1" t="s">
        <v>373</v>
      </c>
    </row>
    <row r="13" spans="1:5" x14ac:dyDescent="0.25">
      <c r="A13" s="275"/>
      <c r="B13" s="181">
        <v>0</v>
      </c>
      <c r="C13" s="1" t="s">
        <v>370</v>
      </c>
    </row>
    <row r="14" spans="1:5" x14ac:dyDescent="0.25">
      <c r="A14" s="275"/>
      <c r="B14" s="1" t="s">
        <v>374</v>
      </c>
      <c r="C14" s="1" t="s">
        <v>373</v>
      </c>
    </row>
    <row r="15" spans="1:5" x14ac:dyDescent="0.25">
      <c r="A15" s="276"/>
      <c r="B15" s="1" t="s">
        <v>371</v>
      </c>
      <c r="C15" s="1" t="s">
        <v>426</v>
      </c>
    </row>
    <row r="17" spans="1:3" x14ac:dyDescent="0.25">
      <c r="A17" t="s">
        <v>388</v>
      </c>
    </row>
    <row r="18" spans="1:3" x14ac:dyDescent="0.25">
      <c r="A18" s="183" t="s">
        <v>389</v>
      </c>
      <c r="B18" s="29">
        <f>COUNTIF('Summary Report'!F22:F31,"")</f>
        <v>10</v>
      </c>
      <c r="C18" t="s">
        <v>397</v>
      </c>
    </row>
    <row r="19" spans="1:3" x14ac:dyDescent="0.25">
      <c r="A19" s="184" t="s">
        <v>390</v>
      </c>
      <c r="B19" s="29">
        <f>COUNTIF('Summary Report'!F33:F43,"")</f>
        <v>11</v>
      </c>
      <c r="C19">
        <f>B18+B19</f>
        <v>21</v>
      </c>
    </row>
    <row r="20" spans="1:3" x14ac:dyDescent="0.25">
      <c r="A20" s="183" t="s">
        <v>391</v>
      </c>
      <c r="B20" s="29">
        <f>COUNTIF('Summary Report'!F22:F31,"Queried")</f>
        <v>0</v>
      </c>
      <c r="C20" t="s">
        <v>398</v>
      </c>
    </row>
    <row r="21" spans="1:3" x14ac:dyDescent="0.25">
      <c r="A21" s="184" t="s">
        <v>392</v>
      </c>
      <c r="B21" s="29">
        <f>COUNTIF('Summary Report'!F33:F43,"Queried")</f>
        <v>0</v>
      </c>
      <c r="C21">
        <f>B20+B21</f>
        <v>0</v>
      </c>
    </row>
    <row r="22" spans="1:3" x14ac:dyDescent="0.25">
      <c r="A22" s="183" t="s">
        <v>393</v>
      </c>
      <c r="B22" s="29">
        <f>COUNTIF('Summary Report'!F22:F31,"Rejected")</f>
        <v>0</v>
      </c>
      <c r="C22" t="s">
        <v>399</v>
      </c>
    </row>
    <row r="23" spans="1:3" x14ac:dyDescent="0.25">
      <c r="A23" s="185" t="s">
        <v>394</v>
      </c>
      <c r="B23" s="29">
        <f>COUNTIF('Summary Report'!F33:F43,"Rejected")</f>
        <v>0</v>
      </c>
      <c r="C23">
        <f>B22+B23</f>
        <v>0</v>
      </c>
    </row>
    <row r="24" spans="1:3" x14ac:dyDescent="0.25">
      <c r="A24" s="183" t="s">
        <v>395</v>
      </c>
      <c r="B24" s="29">
        <f>COUNTIF('Summary Report'!F22:F31,"Accepted")</f>
        <v>0</v>
      </c>
      <c r="C24" t="s">
        <v>400</v>
      </c>
    </row>
    <row r="25" spans="1:3" x14ac:dyDescent="0.25">
      <c r="A25" s="184" t="s">
        <v>396</v>
      </c>
      <c r="B25" s="29">
        <f>COUNTIF('Summary Report'!F33:F43,"Accepted")</f>
        <v>0</v>
      </c>
      <c r="C25">
        <f>B24+B25</f>
        <v>0</v>
      </c>
    </row>
    <row r="26" spans="1:3" x14ac:dyDescent="0.25">
      <c r="B26" t="s">
        <v>401</v>
      </c>
      <c r="C26" t="str">
        <f>IF(C19&gt;0,"REVIEW INCOMPLETE",IF(C21&gt;0,"ITEMS QUERIED/REJECTED - RETURN TO OFFICER",IF(C23&gt;0,"ITEMS QUERIED/REJECTED - RETURN TO OFFICER",IF(C25=21,"REVIEW COMPLETE - READY TO PASS TO DECISION MAKER/S"))))</f>
        <v>REVIEW INCOMPLETE</v>
      </c>
    </row>
    <row r="29" spans="1:3" x14ac:dyDescent="0.25">
      <c r="A29" s="195"/>
    </row>
    <row r="30" spans="1:3" x14ac:dyDescent="0.25">
      <c r="A30" s="196"/>
    </row>
    <row r="31" spans="1:3" x14ac:dyDescent="0.25">
      <c r="A31" s="197"/>
    </row>
    <row r="32" spans="1:3" x14ac:dyDescent="0.25">
      <c r="A32" s="198"/>
    </row>
    <row r="33" spans="1:1" x14ac:dyDescent="0.25">
      <c r="A33" s="199"/>
    </row>
    <row r="34" spans="1:1" x14ac:dyDescent="0.25">
      <c r="A34" s="200"/>
    </row>
  </sheetData>
  <mergeCells count="1">
    <mergeCell ref="A11:A15"/>
  </mergeCells>
  <conditionalFormatting sqref="F3:F9">
    <cfRule type="expression" priority="5">
      <formula>(#REF!=1)</formula>
    </cfRule>
  </conditionalFormatting>
  <pageMargins left="0.7" right="0.7" top="0.75" bottom="0.75" header="0.3" footer="0.3"/>
  <pageSetup paperSize="9" orientation="portrait" r:id="rId1"/>
  <ignoredErrors>
    <ignoredError sqref="B2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B3:S36"/>
  <sheetViews>
    <sheetView showGridLines="0" zoomScale="76" zoomScaleNormal="100" workbookViewId="0">
      <selection activeCell="W26" sqref="W26"/>
    </sheetView>
  </sheetViews>
  <sheetFormatPr defaultRowHeight="15" x14ac:dyDescent="0.25"/>
  <cols>
    <col min="1" max="1" width="4.85546875" customWidth="1"/>
    <col min="2" max="2" width="9.140625" customWidth="1"/>
    <col min="14" max="14" width="8.7109375" customWidth="1"/>
    <col min="18" max="18" width="26.42578125" customWidth="1"/>
  </cols>
  <sheetData>
    <row r="3" spans="2:19" ht="4.5" customHeight="1" x14ac:dyDescent="0.25">
      <c r="B3" s="38"/>
      <c r="C3" s="31"/>
      <c r="D3" s="31"/>
      <c r="E3" s="31"/>
      <c r="F3" s="31"/>
      <c r="G3" s="31"/>
      <c r="H3" s="31"/>
      <c r="I3" s="31"/>
      <c r="J3" s="31"/>
      <c r="K3" s="31"/>
      <c r="L3" s="31"/>
      <c r="M3" s="31"/>
      <c r="N3" s="31"/>
      <c r="O3" s="31"/>
      <c r="P3" s="31"/>
      <c r="Q3" s="31"/>
      <c r="R3" s="31"/>
      <c r="S3" s="32"/>
    </row>
    <row r="4" spans="2:19" ht="15" customHeight="1" x14ac:dyDescent="0.3">
      <c r="B4" s="39" t="s">
        <v>266</v>
      </c>
      <c r="M4" s="40"/>
      <c r="N4" s="40"/>
      <c r="O4" s="40"/>
      <c r="P4" s="40"/>
      <c r="Q4" s="40"/>
      <c r="S4" s="34"/>
    </row>
    <row r="5" spans="2:19" ht="15" customHeight="1" x14ac:dyDescent="0.3">
      <c r="B5" s="33"/>
      <c r="M5" s="41" t="s">
        <v>246</v>
      </c>
      <c r="N5" s="309" t="s">
        <v>247</v>
      </c>
      <c r="O5" s="309"/>
      <c r="P5" s="309"/>
      <c r="Q5" s="309"/>
      <c r="R5" s="41" t="s">
        <v>248</v>
      </c>
      <c r="S5" s="34"/>
    </row>
    <row r="6" spans="2:19" ht="15" customHeight="1" x14ac:dyDescent="0.25">
      <c r="B6" s="33"/>
      <c r="M6" s="296"/>
      <c r="N6" s="297" t="s">
        <v>245</v>
      </c>
      <c r="O6" s="298"/>
      <c r="P6" s="298"/>
      <c r="Q6" s="299"/>
      <c r="R6" s="293" t="s">
        <v>244</v>
      </c>
      <c r="S6" s="34"/>
    </row>
    <row r="7" spans="2:19" x14ac:dyDescent="0.25">
      <c r="B7" s="33"/>
      <c r="M7" s="296"/>
      <c r="N7" s="300"/>
      <c r="O7" s="301"/>
      <c r="P7" s="301"/>
      <c r="Q7" s="302"/>
      <c r="R7" s="294"/>
      <c r="S7" s="34"/>
    </row>
    <row r="8" spans="2:19" x14ac:dyDescent="0.25">
      <c r="B8" s="33"/>
      <c r="M8" s="296"/>
      <c r="N8" s="300"/>
      <c r="O8" s="301"/>
      <c r="P8" s="301"/>
      <c r="Q8" s="302"/>
      <c r="R8" s="294"/>
      <c r="S8" s="34"/>
    </row>
    <row r="9" spans="2:19" x14ac:dyDescent="0.25">
      <c r="B9" s="33"/>
      <c r="M9" s="296"/>
      <c r="N9" s="303"/>
      <c r="O9" s="304"/>
      <c r="P9" s="304"/>
      <c r="Q9" s="305"/>
      <c r="R9" s="295"/>
      <c r="S9" s="34"/>
    </row>
    <row r="10" spans="2:19" ht="15" customHeight="1" x14ac:dyDescent="0.25">
      <c r="B10" s="33"/>
      <c r="M10" s="306"/>
      <c r="N10" s="284" t="s">
        <v>249</v>
      </c>
      <c r="O10" s="285"/>
      <c r="P10" s="285"/>
      <c r="Q10" s="286"/>
      <c r="R10" s="281" t="s">
        <v>250</v>
      </c>
      <c r="S10" s="34"/>
    </row>
    <row r="11" spans="2:19" x14ac:dyDescent="0.25">
      <c r="B11" s="33"/>
      <c r="M11" s="307"/>
      <c r="N11" s="287"/>
      <c r="O11" s="288"/>
      <c r="P11" s="288"/>
      <c r="Q11" s="289"/>
      <c r="R11" s="282"/>
      <c r="S11" s="34"/>
    </row>
    <row r="12" spans="2:19" x14ac:dyDescent="0.25">
      <c r="B12" s="33"/>
      <c r="M12" s="307"/>
      <c r="N12" s="287"/>
      <c r="O12" s="288"/>
      <c r="P12" s="288"/>
      <c r="Q12" s="289"/>
      <c r="R12" s="282"/>
      <c r="S12" s="34"/>
    </row>
    <row r="13" spans="2:19" x14ac:dyDescent="0.25">
      <c r="B13" s="33"/>
      <c r="M13" s="308"/>
      <c r="N13" s="290"/>
      <c r="O13" s="291"/>
      <c r="P13" s="291"/>
      <c r="Q13" s="292"/>
      <c r="R13" s="283"/>
      <c r="S13" s="34"/>
    </row>
    <row r="14" spans="2:19" ht="15" customHeight="1" x14ac:dyDescent="0.25">
      <c r="B14" s="33"/>
      <c r="M14" s="16"/>
      <c r="N14" s="284" t="s">
        <v>121</v>
      </c>
      <c r="O14" s="285"/>
      <c r="P14" s="285"/>
      <c r="Q14" s="286"/>
      <c r="R14" s="293" t="s">
        <v>244</v>
      </c>
      <c r="S14" s="34"/>
    </row>
    <row r="15" spans="2:19" x14ac:dyDescent="0.25">
      <c r="B15" s="33"/>
      <c r="M15" s="17"/>
      <c r="N15" s="287"/>
      <c r="O15" s="288"/>
      <c r="P15" s="288"/>
      <c r="Q15" s="289"/>
      <c r="R15" s="294"/>
      <c r="S15" s="34"/>
    </row>
    <row r="16" spans="2:19" x14ac:dyDescent="0.25">
      <c r="B16" s="33"/>
      <c r="M16" s="17"/>
      <c r="N16" s="287"/>
      <c r="O16" s="288"/>
      <c r="P16" s="288"/>
      <c r="Q16" s="289"/>
      <c r="R16" s="294"/>
      <c r="S16" s="34"/>
    </row>
    <row r="17" spans="2:19" x14ac:dyDescent="0.25">
      <c r="B17" s="33"/>
      <c r="M17" s="18"/>
      <c r="N17" s="290"/>
      <c r="O17" s="291"/>
      <c r="P17" s="291"/>
      <c r="Q17" s="292"/>
      <c r="R17" s="295"/>
      <c r="S17" s="34"/>
    </row>
    <row r="18" spans="2:19" ht="15" customHeight="1" x14ac:dyDescent="0.25">
      <c r="B18" s="33"/>
      <c r="M18" s="313"/>
      <c r="N18" s="284" t="s">
        <v>122</v>
      </c>
      <c r="O18" s="285"/>
      <c r="P18" s="285"/>
      <c r="Q18" s="286"/>
      <c r="R18" s="281" t="s">
        <v>251</v>
      </c>
      <c r="S18" s="34"/>
    </row>
    <row r="19" spans="2:19" x14ac:dyDescent="0.25">
      <c r="B19" s="33"/>
      <c r="M19" s="314"/>
      <c r="N19" s="287"/>
      <c r="O19" s="288"/>
      <c r="P19" s="288"/>
      <c r="Q19" s="289"/>
      <c r="R19" s="282"/>
      <c r="S19" s="34"/>
    </row>
    <row r="20" spans="2:19" x14ac:dyDescent="0.25">
      <c r="B20" s="33"/>
      <c r="M20" s="314"/>
      <c r="N20" s="287"/>
      <c r="O20" s="288"/>
      <c r="P20" s="288"/>
      <c r="Q20" s="289"/>
      <c r="R20" s="282"/>
      <c r="S20" s="34"/>
    </row>
    <row r="21" spans="2:19" x14ac:dyDescent="0.25">
      <c r="B21" s="33"/>
      <c r="M21" s="315"/>
      <c r="N21" s="290"/>
      <c r="O21" s="291"/>
      <c r="P21" s="291"/>
      <c r="Q21" s="292"/>
      <c r="R21" s="283"/>
      <c r="S21" s="34"/>
    </row>
    <row r="22" spans="2:19" ht="15" customHeight="1" x14ac:dyDescent="0.25">
      <c r="B22" s="33"/>
      <c r="M22" s="316"/>
      <c r="N22" s="284" t="s">
        <v>252</v>
      </c>
      <c r="O22" s="285"/>
      <c r="P22" s="285"/>
      <c r="Q22" s="286"/>
      <c r="R22" s="310" t="s">
        <v>253</v>
      </c>
      <c r="S22" s="34"/>
    </row>
    <row r="23" spans="2:19" x14ac:dyDescent="0.25">
      <c r="B23" s="33"/>
      <c r="M23" s="317"/>
      <c r="N23" s="287"/>
      <c r="O23" s="288"/>
      <c r="P23" s="288"/>
      <c r="Q23" s="289"/>
      <c r="R23" s="311"/>
      <c r="S23" s="34"/>
    </row>
    <row r="24" spans="2:19" x14ac:dyDescent="0.25">
      <c r="B24" s="33"/>
      <c r="M24" s="317"/>
      <c r="N24" s="287"/>
      <c r="O24" s="288"/>
      <c r="P24" s="288"/>
      <c r="Q24" s="289"/>
      <c r="R24" s="311"/>
      <c r="S24" s="34"/>
    </row>
    <row r="25" spans="2:19" x14ac:dyDescent="0.25">
      <c r="B25" s="33"/>
      <c r="M25" s="318"/>
      <c r="N25" s="290"/>
      <c r="O25" s="291"/>
      <c r="P25" s="291"/>
      <c r="Q25" s="292"/>
      <c r="R25" s="312"/>
      <c r="S25" s="34"/>
    </row>
    <row r="26" spans="2:19" ht="15" customHeight="1" x14ac:dyDescent="0.25">
      <c r="B26" s="33"/>
      <c r="M26" s="19"/>
      <c r="N26" s="284" t="s">
        <v>254</v>
      </c>
      <c r="O26" s="285"/>
      <c r="P26" s="285"/>
      <c r="Q26" s="286"/>
      <c r="R26" s="281" t="s">
        <v>255</v>
      </c>
      <c r="S26" s="34"/>
    </row>
    <row r="27" spans="2:19" x14ac:dyDescent="0.25">
      <c r="B27" s="33"/>
      <c r="M27" s="12"/>
      <c r="N27" s="287"/>
      <c r="O27" s="288"/>
      <c r="P27" s="288"/>
      <c r="Q27" s="289"/>
      <c r="R27" s="282"/>
      <c r="S27" s="34"/>
    </row>
    <row r="28" spans="2:19" x14ac:dyDescent="0.25">
      <c r="B28" s="33"/>
      <c r="M28" s="12"/>
      <c r="N28" s="287"/>
      <c r="O28" s="288"/>
      <c r="P28" s="288"/>
      <c r="Q28" s="289"/>
      <c r="R28" s="282"/>
      <c r="S28" s="34"/>
    </row>
    <row r="29" spans="2:19" x14ac:dyDescent="0.25">
      <c r="B29" s="33"/>
      <c r="M29" s="20"/>
      <c r="N29" s="290"/>
      <c r="O29" s="291"/>
      <c r="P29" s="291"/>
      <c r="Q29" s="292"/>
      <c r="R29" s="283"/>
      <c r="S29" s="34"/>
    </row>
    <row r="30" spans="2:19" x14ac:dyDescent="0.25">
      <c r="B30" s="33"/>
      <c r="S30" s="34"/>
    </row>
    <row r="31" spans="2:19" x14ac:dyDescent="0.25">
      <c r="B31" s="33"/>
      <c r="S31" s="34"/>
    </row>
    <row r="32" spans="2:19" x14ac:dyDescent="0.25">
      <c r="B32" s="33"/>
      <c r="S32" s="34"/>
    </row>
    <row r="33" spans="2:19" x14ac:dyDescent="0.25">
      <c r="B33" s="35"/>
      <c r="C33" s="36"/>
      <c r="D33" s="36"/>
      <c r="E33" s="36"/>
      <c r="F33" s="36"/>
      <c r="G33" s="36"/>
      <c r="H33" s="36"/>
      <c r="I33" s="36"/>
      <c r="J33" s="36"/>
      <c r="K33" s="36"/>
      <c r="L33" s="36"/>
      <c r="M33" s="36"/>
      <c r="N33" s="36"/>
      <c r="O33" s="36"/>
      <c r="P33" s="36"/>
      <c r="Q33" s="36"/>
      <c r="R33" s="36"/>
      <c r="S33" s="37"/>
    </row>
    <row r="35" spans="2:19" ht="39.75" customHeight="1" x14ac:dyDescent="0.25">
      <c r="B35" s="277" t="s">
        <v>264</v>
      </c>
      <c r="C35" s="278"/>
      <c r="D35" s="278"/>
      <c r="E35" s="278"/>
      <c r="F35" s="279"/>
      <c r="G35" s="280" t="e">
        <f>FORMULAS!#REF!</f>
        <v>#REF!</v>
      </c>
      <c r="H35" s="280"/>
      <c r="I35" s="280"/>
      <c r="J35" s="280"/>
      <c r="K35" s="280"/>
      <c r="L35" s="30"/>
    </row>
    <row r="36" spans="2:19" ht="39.75" customHeight="1" x14ac:dyDescent="0.25">
      <c r="B36" s="277" t="s">
        <v>265</v>
      </c>
      <c r="C36" s="278"/>
      <c r="D36" s="278"/>
      <c r="E36" s="278"/>
      <c r="F36" s="279"/>
      <c r="G36" s="280" t="e">
        <f>FORMULAS!#REF!</f>
        <v>#REF!</v>
      </c>
      <c r="H36" s="280"/>
      <c r="I36" s="280"/>
      <c r="J36" s="280"/>
      <c r="K36" s="280"/>
    </row>
  </sheetData>
  <mergeCells count="21">
    <mergeCell ref="R22:R25"/>
    <mergeCell ref="M18:M21"/>
    <mergeCell ref="M22:M25"/>
    <mergeCell ref="N18:Q21"/>
    <mergeCell ref="N22:Q25"/>
    <mergeCell ref="M6:M9"/>
    <mergeCell ref="N6:Q9"/>
    <mergeCell ref="M10:M13"/>
    <mergeCell ref="N10:Q13"/>
    <mergeCell ref="N5:Q5"/>
    <mergeCell ref="R6:R9"/>
    <mergeCell ref="R10:R13"/>
    <mergeCell ref="R14:R17"/>
    <mergeCell ref="R18:R21"/>
    <mergeCell ref="N14:Q17"/>
    <mergeCell ref="B35:F35"/>
    <mergeCell ref="G36:K36"/>
    <mergeCell ref="G35:K35"/>
    <mergeCell ref="B36:F36"/>
    <mergeCell ref="R26:R29"/>
    <mergeCell ref="N26:Q29"/>
  </mergeCells>
  <pageMargins left="0.7" right="0.7" top="0.75" bottom="0.75" header="0.3" footer="0.3"/>
  <pageSetup orientation="landscape"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pageSetUpPr fitToPage="1"/>
  </sheetPr>
  <dimension ref="A1:M49"/>
  <sheetViews>
    <sheetView showGridLines="0" topLeftCell="A2" zoomScale="55" zoomScaleNormal="55" zoomScaleSheetLayoutView="55" workbookViewId="0">
      <selection activeCell="E25" sqref="E25"/>
    </sheetView>
  </sheetViews>
  <sheetFormatPr defaultColWidth="9.140625" defaultRowHeight="15" x14ac:dyDescent="0.25"/>
  <cols>
    <col min="1" max="1" width="4.5703125" style="26" customWidth="1"/>
    <col min="2" max="2" width="29.28515625" style="26" customWidth="1"/>
    <col min="3" max="3" width="18.5703125" style="26" customWidth="1"/>
    <col min="4" max="4" width="51.7109375" style="26" customWidth="1"/>
    <col min="5" max="5" width="114.7109375" style="26" customWidth="1"/>
    <col min="6" max="6" width="22" style="26" customWidth="1"/>
    <col min="7" max="7" width="127.140625" style="26" customWidth="1"/>
    <col min="8" max="8" width="4.42578125" style="26" customWidth="1"/>
    <col min="9" max="9" width="90" style="26" customWidth="1"/>
    <col min="10" max="10" width="3.28515625" style="26" customWidth="1"/>
    <col min="11" max="11" width="18" style="26" customWidth="1"/>
    <col min="12" max="12" width="70.85546875" style="26" customWidth="1"/>
    <col min="13" max="13" width="50.42578125" style="146" customWidth="1"/>
    <col min="14" max="14" width="33.28515625" style="26" customWidth="1"/>
    <col min="15" max="16384" width="9.140625" style="26"/>
  </cols>
  <sheetData>
    <row r="1" spans="1:13" ht="12.75" customHeight="1" x14ac:dyDescent="0.35">
      <c r="A1" s="143"/>
      <c r="B1" s="143"/>
      <c r="C1" s="143"/>
      <c r="D1" s="143"/>
      <c r="E1" s="143"/>
      <c r="F1" s="143"/>
      <c r="G1" s="143"/>
      <c r="H1" s="143"/>
      <c r="I1" s="143"/>
      <c r="J1" s="143"/>
      <c r="K1" s="159"/>
      <c r="L1" s="159"/>
    </row>
    <row r="2" spans="1:13" ht="36" x14ac:dyDescent="0.55000000000000004">
      <c r="A2" s="143"/>
      <c r="B2" s="354" t="s">
        <v>555</v>
      </c>
      <c r="C2" s="354"/>
      <c r="D2" s="354"/>
      <c r="E2" s="355" t="s">
        <v>581</v>
      </c>
      <c r="F2" s="143"/>
      <c r="G2" s="143"/>
      <c r="H2" s="143"/>
      <c r="I2" s="143"/>
      <c r="J2" s="143"/>
      <c r="K2" s="159"/>
      <c r="L2" s="159"/>
    </row>
    <row r="3" spans="1:13" ht="25.5" customHeight="1" x14ac:dyDescent="0.35">
      <c r="A3" s="143"/>
      <c r="B3" s="321" t="s">
        <v>367</v>
      </c>
      <c r="C3" s="321"/>
      <c r="D3" s="321"/>
      <c r="E3" s="154"/>
      <c r="F3" s="154"/>
      <c r="G3" s="143"/>
      <c r="H3" s="143"/>
      <c r="I3" s="143"/>
      <c r="J3" s="143"/>
      <c r="K3" s="159"/>
      <c r="L3" s="159"/>
    </row>
    <row r="4" spans="1:13" ht="12.75" customHeight="1" x14ac:dyDescent="0.3">
      <c r="A4" s="142"/>
      <c r="B4" s="142"/>
      <c r="C4" s="142"/>
      <c r="D4" s="142"/>
      <c r="E4" s="142"/>
      <c r="F4" s="142"/>
      <c r="G4" s="142"/>
      <c r="H4" s="142"/>
      <c r="I4" s="329"/>
      <c r="J4" s="329"/>
      <c r="K4" s="146"/>
      <c r="L4" s="160"/>
    </row>
    <row r="5" spans="1:13" ht="39.75" customHeight="1" x14ac:dyDescent="0.25">
      <c r="A5" s="142"/>
      <c r="B5" s="322" t="s">
        <v>134</v>
      </c>
      <c r="C5" s="323"/>
      <c r="D5" s="324">
        <f>Details!C4</f>
        <v>0</v>
      </c>
      <c r="E5" s="324"/>
      <c r="F5" s="324"/>
      <c r="G5" s="142"/>
      <c r="H5" s="142"/>
      <c r="I5" s="142"/>
      <c r="J5" s="158"/>
      <c r="K5" s="161"/>
      <c r="L5" s="146"/>
    </row>
    <row r="6" spans="1:13" ht="23.25" customHeight="1" x14ac:dyDescent="0.25">
      <c r="A6" s="142"/>
      <c r="B6" s="322" t="s">
        <v>136</v>
      </c>
      <c r="C6" s="323"/>
      <c r="D6" s="324">
        <f>Details!C7</f>
        <v>0</v>
      </c>
      <c r="E6" s="324"/>
      <c r="F6" s="324"/>
      <c r="G6" s="142"/>
      <c r="H6" s="142"/>
      <c r="I6" s="142"/>
      <c r="J6" s="158"/>
      <c r="K6" s="161"/>
      <c r="L6" s="146"/>
    </row>
    <row r="7" spans="1:13" ht="23.25" customHeight="1" x14ac:dyDescent="0.25">
      <c r="A7" s="142"/>
      <c r="B7" s="322" t="s">
        <v>356</v>
      </c>
      <c r="C7" s="323"/>
      <c r="D7" s="324">
        <f>Details!C13</f>
        <v>0</v>
      </c>
      <c r="E7" s="324"/>
      <c r="F7" s="324"/>
      <c r="G7" s="142"/>
      <c r="H7" s="142"/>
      <c r="I7" s="142"/>
      <c r="J7" s="158"/>
      <c r="K7" s="161"/>
      <c r="L7" s="146"/>
    </row>
    <row r="8" spans="1:13" ht="39.75" customHeight="1" x14ac:dyDescent="0.25">
      <c r="A8" s="142"/>
      <c r="B8" s="322" t="s">
        <v>357</v>
      </c>
      <c r="C8" s="326"/>
      <c r="D8" s="324">
        <f>Details!C16</f>
        <v>0</v>
      </c>
      <c r="E8" s="324"/>
      <c r="F8" s="324"/>
      <c r="G8" s="142"/>
      <c r="H8" s="142"/>
      <c r="I8" s="142"/>
      <c r="J8" s="51"/>
      <c r="K8" s="4"/>
      <c r="L8" s="4"/>
      <c r="M8" s="4"/>
    </row>
    <row r="9" spans="1:13" ht="39.75" customHeight="1" x14ac:dyDescent="0.25">
      <c r="A9" s="142"/>
      <c r="B9" s="322" t="s">
        <v>2</v>
      </c>
      <c r="C9" s="323"/>
      <c r="D9" s="324">
        <f>Details!C19</f>
        <v>0</v>
      </c>
      <c r="E9" s="324"/>
      <c r="F9" s="324"/>
      <c r="G9" s="142"/>
      <c r="H9" s="142"/>
      <c r="I9" s="142"/>
      <c r="J9" s="51"/>
      <c r="K9" s="146"/>
      <c r="L9" s="146"/>
      <c r="M9" s="4"/>
    </row>
    <row r="10" spans="1:13" ht="23.25" customHeight="1" x14ac:dyDescent="0.25">
      <c r="A10" s="142"/>
      <c r="B10" s="322" t="s">
        <v>3</v>
      </c>
      <c r="C10" s="323"/>
      <c r="D10" s="337">
        <f>Details!C24</f>
        <v>0</v>
      </c>
      <c r="E10" s="337"/>
      <c r="F10" s="337"/>
      <c r="G10" s="142"/>
      <c r="H10" s="142"/>
      <c r="I10" s="142"/>
      <c r="J10" s="51"/>
      <c r="K10" s="146"/>
      <c r="L10" s="146"/>
      <c r="M10" s="4"/>
    </row>
    <row r="11" spans="1:13" ht="72.75" customHeight="1" x14ac:dyDescent="0.25">
      <c r="A11" s="142"/>
      <c r="B11" s="322" t="s">
        <v>137</v>
      </c>
      <c r="C11" s="323"/>
      <c r="D11" s="324">
        <f>Details!C27</f>
        <v>0</v>
      </c>
      <c r="E11" s="324"/>
      <c r="F11" s="324"/>
      <c r="G11" s="142"/>
      <c r="H11" s="142"/>
      <c r="I11" s="142"/>
      <c r="J11" s="51"/>
      <c r="K11" s="146"/>
      <c r="L11" s="146"/>
      <c r="M11" s="4"/>
    </row>
    <row r="12" spans="1:13" ht="69.75" customHeight="1" x14ac:dyDescent="0.25">
      <c r="A12" s="142"/>
      <c r="B12" s="322" t="s">
        <v>138</v>
      </c>
      <c r="C12" s="323"/>
      <c r="D12" s="324">
        <f>Details!C30</f>
        <v>0</v>
      </c>
      <c r="E12" s="324"/>
      <c r="F12" s="324"/>
      <c r="G12" s="142"/>
      <c r="H12" s="142"/>
      <c r="I12" s="142"/>
      <c r="J12" s="51"/>
      <c r="K12" s="146"/>
      <c r="L12" s="146"/>
      <c r="M12" s="4"/>
    </row>
    <row r="13" spans="1:13" ht="18" customHeight="1" x14ac:dyDescent="0.25">
      <c r="A13" s="142"/>
      <c r="B13" s="145"/>
      <c r="C13" s="145"/>
      <c r="D13" s="145"/>
      <c r="E13" s="145"/>
      <c r="F13" s="145"/>
      <c r="G13" s="142"/>
      <c r="H13" s="142"/>
      <c r="I13" s="142"/>
      <c r="J13" s="51"/>
      <c r="K13" s="146"/>
      <c r="L13" s="146"/>
      <c r="M13" s="4"/>
    </row>
    <row r="14" spans="1:13" ht="18" customHeight="1" x14ac:dyDescent="0.3">
      <c r="A14" s="142"/>
      <c r="B14" s="145"/>
      <c r="C14" s="336" t="s">
        <v>359</v>
      </c>
      <c r="D14" s="336"/>
      <c r="E14" s="338" t="s">
        <v>358</v>
      </c>
      <c r="F14" s="338"/>
      <c r="G14" s="142"/>
      <c r="H14" s="142"/>
      <c r="I14" s="142"/>
      <c r="J14" s="51"/>
      <c r="K14" s="146"/>
      <c r="L14" s="146"/>
      <c r="M14" s="4"/>
    </row>
    <row r="15" spans="1:13" ht="43.5" customHeight="1" x14ac:dyDescent="0.25">
      <c r="A15" s="142"/>
      <c r="B15" s="153" t="s">
        <v>406</v>
      </c>
      <c r="C15" s="340" t="str">
        <f>FORMULAS!E5</f>
        <v>Screening questions incomplete</v>
      </c>
      <c r="D15" s="341"/>
      <c r="E15" s="327" t="s">
        <v>404</v>
      </c>
      <c r="F15" s="328"/>
      <c r="G15" s="142"/>
      <c r="H15" s="142"/>
      <c r="I15" s="142"/>
      <c r="J15" s="51"/>
      <c r="K15" s="146"/>
      <c r="L15" s="146"/>
      <c r="M15" s="4"/>
    </row>
    <row r="16" spans="1:13" ht="17.25" customHeight="1" x14ac:dyDescent="0.25">
      <c r="A16" s="142"/>
      <c r="B16" s="330" t="s">
        <v>405</v>
      </c>
      <c r="C16" s="331"/>
      <c r="D16" s="332"/>
      <c r="E16" s="339">
        <f>'CIA-Screening'!C29</f>
        <v>0</v>
      </c>
      <c r="F16" s="339"/>
      <c r="G16" s="142"/>
      <c r="H16" s="142"/>
      <c r="I16" s="142"/>
      <c r="J16" s="51"/>
      <c r="K16" s="4"/>
      <c r="L16" s="4"/>
      <c r="M16" s="4"/>
    </row>
    <row r="17" spans="1:13" ht="61.5" customHeight="1" x14ac:dyDescent="0.25">
      <c r="A17" s="142"/>
      <c r="B17" s="333"/>
      <c r="C17" s="334"/>
      <c r="D17" s="335"/>
      <c r="E17" s="339"/>
      <c r="F17" s="339"/>
      <c r="G17" s="142"/>
      <c r="H17" s="142"/>
      <c r="I17" s="142"/>
      <c r="J17" s="51"/>
      <c r="K17" s="4"/>
      <c r="L17" s="4"/>
      <c r="M17" s="4"/>
    </row>
    <row r="18" spans="1:13" ht="39.75" customHeight="1" x14ac:dyDescent="0.25">
      <c r="A18" s="142"/>
      <c r="B18" s="142"/>
      <c r="C18" s="142"/>
      <c r="D18" s="142"/>
      <c r="E18" s="142"/>
      <c r="F18" s="142"/>
      <c r="G18" s="142"/>
      <c r="H18" s="142"/>
      <c r="I18" s="142"/>
      <c r="J18" s="51"/>
      <c r="K18" s="4"/>
      <c r="L18" s="4"/>
    </row>
    <row r="19" spans="1:13" ht="22.5" customHeight="1" x14ac:dyDescent="0.25">
      <c r="A19" s="142"/>
      <c r="B19" s="325" t="s">
        <v>380</v>
      </c>
      <c r="C19" s="325"/>
      <c r="D19" s="325"/>
      <c r="E19" s="325"/>
      <c r="F19" s="325"/>
      <c r="G19" s="325"/>
      <c r="H19" s="157"/>
      <c r="I19" s="155" t="s">
        <v>351</v>
      </c>
      <c r="J19" s="51"/>
      <c r="K19" s="4"/>
      <c r="L19" s="4"/>
    </row>
    <row r="20" spans="1:13" ht="26.25" customHeight="1" x14ac:dyDescent="0.25">
      <c r="A20" s="142"/>
      <c r="B20" s="147"/>
      <c r="C20" s="147"/>
      <c r="D20" s="147"/>
      <c r="E20" s="319" t="s">
        <v>407</v>
      </c>
      <c r="F20" s="320"/>
      <c r="G20" s="190" t="s">
        <v>408</v>
      </c>
      <c r="H20" s="157"/>
      <c r="I20" s="179"/>
      <c r="J20" s="51"/>
      <c r="K20" s="4"/>
      <c r="L20" s="4"/>
    </row>
    <row r="21" spans="1:13" s="171" customFormat="1" ht="30.75" customHeight="1" x14ac:dyDescent="0.3">
      <c r="A21" s="156"/>
      <c r="B21" s="144" t="s">
        <v>131</v>
      </c>
      <c r="C21" s="144" t="s">
        <v>6</v>
      </c>
      <c r="D21" s="144" t="s">
        <v>132</v>
      </c>
      <c r="E21" s="144" t="s">
        <v>384</v>
      </c>
      <c r="F21" s="155" t="s">
        <v>133</v>
      </c>
      <c r="G21" s="147" t="s">
        <v>355</v>
      </c>
      <c r="H21" s="344"/>
      <c r="I21" s="347" t="s">
        <v>378</v>
      </c>
      <c r="J21" s="170"/>
      <c r="K21" s="14"/>
      <c r="L21" s="14"/>
    </row>
    <row r="22" spans="1:13" ht="49.5" customHeight="1" x14ac:dyDescent="0.25">
      <c r="A22" s="142"/>
      <c r="B22" s="188" t="s">
        <v>123</v>
      </c>
      <c r="C22" s="163">
        <f>IF('Env Wheel'!I3=20,0,'Env Wheel'!I3)</f>
        <v>0</v>
      </c>
      <c r="D22" s="189" t="str">
        <f>IF(C22=0, "No action required.",IF(C22&gt;0,"No action required",IF(C22&lt;-3, "If changes are not possible, justification required. Include details of mitigations, if any.",IF(C22&lt;0&gt;-4,"If changes are not possible, justification required. Include details of mitigations, if any.",""))))</f>
        <v>No action required.</v>
      </c>
      <c r="E22" s="148">
        <f>'CIA-Environment'!C44</f>
        <v>0</v>
      </c>
      <c r="F22" s="187"/>
      <c r="G22" s="149"/>
      <c r="H22" s="344"/>
      <c r="I22" s="348"/>
      <c r="J22" s="51"/>
      <c r="K22" s="4"/>
      <c r="L22" s="4"/>
      <c r="M22" s="26"/>
    </row>
    <row r="23" spans="1:13" ht="49.5" customHeight="1" x14ac:dyDescent="0.25">
      <c r="A23" s="142"/>
      <c r="B23" s="188" t="s">
        <v>129</v>
      </c>
      <c r="C23" s="163">
        <f>IF('Env Wheel'!I4=20,0,'Env Wheel'!I4)</f>
        <v>0</v>
      </c>
      <c r="D23" s="189" t="str">
        <f>IF(C23=0, "No action required.",IF(C23&gt;0,"No action required",IF(C23&lt;-3, "If changes are not possible, justification required. Include details of mitigations, if any.",IF(C23&lt;0&gt;-4,"If changes are not possible, justification required. Include details of mitigations, if any.",""))))</f>
        <v>No action required.</v>
      </c>
      <c r="E23" s="148">
        <f>'CIA-Environment'!C61</f>
        <v>0</v>
      </c>
      <c r="F23" s="187"/>
      <c r="G23" s="150"/>
      <c r="H23" s="344"/>
      <c r="I23" s="348"/>
      <c r="J23" s="51"/>
      <c r="K23" s="4"/>
      <c r="L23" s="4"/>
      <c r="M23" s="26"/>
    </row>
    <row r="24" spans="1:13" ht="49.5" customHeight="1" x14ac:dyDescent="0.25">
      <c r="A24" s="142"/>
      <c r="B24" s="188" t="s">
        <v>87</v>
      </c>
      <c r="C24" s="163">
        <f>IF('Env Wheel'!I5=20,0,'Env Wheel'!I5)</f>
        <v>0</v>
      </c>
      <c r="D24" s="189" t="str">
        <f>IF(C24=0, "No action required.",IF(C24&gt;0,"No action required",IF(C24&lt;-3, "If changes are not possible, justification required. Include details of mitigations, if any.",IF(C24&lt;0&gt;-4,"If changes are not possible, justification required. Include details of mitigations, if any.",""))))</f>
        <v>No action required.</v>
      </c>
      <c r="E24" s="148">
        <f>'CIA-Environment'!C78</f>
        <v>0</v>
      </c>
      <c r="F24" s="187"/>
      <c r="G24" s="150"/>
      <c r="H24" s="344"/>
      <c r="I24" s="348"/>
      <c r="J24" s="51"/>
      <c r="K24" s="4"/>
      <c r="L24" s="4"/>
      <c r="M24" s="26"/>
    </row>
    <row r="25" spans="1:13" ht="49.5" customHeight="1" x14ac:dyDescent="0.25">
      <c r="A25" s="142"/>
      <c r="B25" s="188" t="s">
        <v>130</v>
      </c>
      <c r="C25" s="163">
        <f>IF('Env Wheel'!I6=20,0,'Env Wheel'!I6)</f>
        <v>0</v>
      </c>
      <c r="D25" s="189" t="str">
        <f>IF(C25=0, "No action required.",IF(C25&gt;0,"No action required",IF(C25&lt;-3, "If changes are not possible, justification required. Include details of mitigations, if any.",IF(C25&lt;0&gt;-4,"If changes are not possible, justification required. Include details of mitigations, if any.",""))))</f>
        <v>No action required.</v>
      </c>
      <c r="E25" s="148">
        <f>'CIA-Environment'!C95</f>
        <v>0</v>
      </c>
      <c r="F25" s="187"/>
      <c r="G25" s="150"/>
      <c r="H25" s="344"/>
      <c r="I25" s="348"/>
      <c r="J25" s="51"/>
      <c r="K25" s="4"/>
      <c r="L25" s="4"/>
      <c r="M25" s="26"/>
    </row>
    <row r="26" spans="1:13" ht="49.5" customHeight="1" x14ac:dyDescent="0.25">
      <c r="A26" s="142"/>
      <c r="B26" s="188" t="s">
        <v>89</v>
      </c>
      <c r="C26" s="163">
        <f>IF('Env Wheel'!I7=20,0,'Env Wheel'!I7)</f>
        <v>0</v>
      </c>
      <c r="D26" s="189" t="str">
        <f>IF(C26=0, "No action required.",IF(C26&gt;0,"No action required",IF(C26&lt;-3, "If changes are not possible, justification required. Include details of mitigations, if any.",IF(C26&lt;0&gt;-4,"If changes are not possible, justification required. Include details of mitigations, if any.",""))))</f>
        <v>No action required.</v>
      </c>
      <c r="E26" s="148">
        <f>'CIA-Environment'!C112</f>
        <v>0</v>
      </c>
      <c r="F26" s="187"/>
      <c r="G26" s="150"/>
      <c r="H26" s="344"/>
      <c r="I26" s="348"/>
      <c r="J26" s="51"/>
      <c r="K26" s="4"/>
      <c r="L26" s="4"/>
      <c r="M26" s="26"/>
    </row>
    <row r="27" spans="1:13" ht="49.5" customHeight="1" x14ac:dyDescent="0.25">
      <c r="A27" s="142"/>
      <c r="B27" s="188" t="s">
        <v>256</v>
      </c>
      <c r="C27" s="163">
        <f>IF('Env Wheel'!I8=20,0,'Env Wheel'!I8)</f>
        <v>0</v>
      </c>
      <c r="D27" s="189" t="str">
        <f t="shared" ref="D27:D43" si="0">IF(C27=0, "No action required.",IF(C27&gt;0,"No action required",IF(C27&lt;-3, "If changes are not possible, justification required. Include details of mitigations, if any.",IF(C27&lt;0&gt;-4,"If changes are not possible, justification required. Include details of mitigations, if any.",""))))</f>
        <v>No action required.</v>
      </c>
      <c r="E27" s="148">
        <f>'CIA-Environment'!C129</f>
        <v>0</v>
      </c>
      <c r="F27" s="187"/>
      <c r="G27" s="150"/>
      <c r="H27" s="344"/>
      <c r="I27" s="348"/>
      <c r="J27" s="51"/>
      <c r="K27" s="146"/>
      <c r="L27" s="4"/>
      <c r="M27" s="26"/>
    </row>
    <row r="28" spans="1:13" ht="49.5" customHeight="1" x14ac:dyDescent="0.25">
      <c r="A28" s="142"/>
      <c r="B28" s="188" t="s">
        <v>126</v>
      </c>
      <c r="C28" s="163">
        <f>IF('Env Wheel'!I9=20,0,'Env Wheel'!I9)</f>
        <v>0</v>
      </c>
      <c r="D28" s="189" t="str">
        <f t="shared" si="0"/>
        <v>No action required.</v>
      </c>
      <c r="E28" s="148">
        <f>'CIA-Environment'!C146</f>
        <v>0</v>
      </c>
      <c r="F28" s="187"/>
      <c r="G28" s="150"/>
      <c r="H28" s="344"/>
      <c r="I28" s="348"/>
      <c r="J28" s="51"/>
      <c r="K28" s="146"/>
      <c r="L28" s="4"/>
      <c r="M28" s="26"/>
    </row>
    <row r="29" spans="1:13" ht="49.5" customHeight="1" x14ac:dyDescent="0.25">
      <c r="A29" s="142"/>
      <c r="B29" s="188" t="s">
        <v>92</v>
      </c>
      <c r="C29" s="163">
        <f>IF('Env Wheel'!I10=20,0,'Env Wheel'!I10)</f>
        <v>0</v>
      </c>
      <c r="D29" s="189" t="str">
        <f t="shared" si="0"/>
        <v>No action required.</v>
      </c>
      <c r="E29" s="148">
        <f>'CIA-Environment'!C163</f>
        <v>0</v>
      </c>
      <c r="F29" s="187"/>
      <c r="G29" s="150"/>
      <c r="H29" s="344"/>
      <c r="I29" s="348"/>
      <c r="J29" s="51"/>
      <c r="K29" s="146"/>
      <c r="L29" s="4"/>
      <c r="M29" s="26"/>
    </row>
    <row r="30" spans="1:13" ht="49.5" customHeight="1" x14ac:dyDescent="0.25">
      <c r="A30" s="142"/>
      <c r="B30" s="188" t="s">
        <v>93</v>
      </c>
      <c r="C30" s="163">
        <f>IF('Env Wheel'!I11=20,0,'Env Wheel'!I11)</f>
        <v>0</v>
      </c>
      <c r="D30" s="189" t="str">
        <f t="shared" si="0"/>
        <v>No action required.</v>
      </c>
      <c r="E30" s="148">
        <f>'CIA-Environment'!C180</f>
        <v>0</v>
      </c>
      <c r="F30" s="187"/>
      <c r="G30" s="150"/>
      <c r="H30" s="344"/>
      <c r="I30" s="349"/>
      <c r="J30" s="51"/>
      <c r="K30" s="146"/>
      <c r="L30" s="4"/>
      <c r="M30" s="26"/>
    </row>
    <row r="31" spans="1:13" ht="49.5" customHeight="1" x14ac:dyDescent="0.25">
      <c r="A31" s="142"/>
      <c r="B31" s="188" t="s">
        <v>94</v>
      </c>
      <c r="C31" s="163">
        <f>IF('Env Wheel'!I12=20,0,'Env Wheel'!I12)</f>
        <v>0</v>
      </c>
      <c r="D31" s="189" t="str">
        <f t="shared" si="0"/>
        <v>No action required.</v>
      </c>
      <c r="E31" s="148">
        <f>'CIA-Environment'!C197</f>
        <v>0</v>
      </c>
      <c r="F31" s="187"/>
      <c r="G31" s="150"/>
      <c r="H31" s="344"/>
      <c r="I31" s="51"/>
      <c r="J31" s="51"/>
      <c r="K31" s="146"/>
      <c r="L31" s="4"/>
      <c r="M31" s="26"/>
    </row>
    <row r="32" spans="1:13" s="169" customFormat="1" ht="49.5" customHeight="1" x14ac:dyDescent="0.25">
      <c r="A32" s="165"/>
      <c r="B32" s="144" t="s">
        <v>135</v>
      </c>
      <c r="C32" s="164" t="s">
        <v>6</v>
      </c>
      <c r="D32" s="144" t="s">
        <v>132</v>
      </c>
      <c r="E32" s="144" t="s">
        <v>350</v>
      </c>
      <c r="F32" s="144" t="s">
        <v>133</v>
      </c>
      <c r="G32" s="147" t="s">
        <v>355</v>
      </c>
      <c r="H32" s="157"/>
      <c r="I32" s="155" t="s">
        <v>379</v>
      </c>
      <c r="J32" s="166"/>
      <c r="K32" s="167"/>
      <c r="L32" s="168"/>
    </row>
    <row r="33" spans="1:13" ht="49.5" customHeight="1" x14ac:dyDescent="0.25">
      <c r="A33" s="142"/>
      <c r="B33" s="188" t="s">
        <v>100</v>
      </c>
      <c r="C33" s="162">
        <f>IF('Social Wheel'!I3=20,0,'Social Wheel'!I3)</f>
        <v>0</v>
      </c>
      <c r="D33" s="189" t="str">
        <f t="shared" si="0"/>
        <v>No action required.</v>
      </c>
      <c r="E33" s="151">
        <f>'CIA-Social'!C18</f>
        <v>0</v>
      </c>
      <c r="F33" s="187"/>
      <c r="G33" s="149"/>
      <c r="H33" s="344"/>
      <c r="I33" s="346" t="s">
        <v>566</v>
      </c>
      <c r="J33" s="51"/>
      <c r="K33" s="146"/>
      <c r="L33" s="4"/>
      <c r="M33" s="26"/>
    </row>
    <row r="34" spans="1:13" ht="49.5" customHeight="1" x14ac:dyDescent="0.25">
      <c r="A34" s="142"/>
      <c r="B34" s="188" t="s">
        <v>124</v>
      </c>
      <c r="C34" s="162">
        <f>IF('Social Wheel'!I4=20,0,'Social Wheel'!I4)</f>
        <v>0</v>
      </c>
      <c r="D34" s="189" t="str">
        <f t="shared" si="0"/>
        <v>No action required.</v>
      </c>
      <c r="E34" s="151">
        <f>'CIA-Social'!C35</f>
        <v>0</v>
      </c>
      <c r="F34" s="187"/>
      <c r="G34" s="150"/>
      <c r="H34" s="345"/>
      <c r="I34" s="339"/>
      <c r="J34" s="51"/>
      <c r="K34" s="146"/>
      <c r="L34" s="4"/>
      <c r="M34" s="26"/>
    </row>
    <row r="35" spans="1:13" ht="49.5" customHeight="1" x14ac:dyDescent="0.25">
      <c r="A35" s="142"/>
      <c r="B35" s="188" t="s">
        <v>102</v>
      </c>
      <c r="C35" s="162">
        <f>IF('Social Wheel'!I5=20,0,'Social Wheel'!I5)</f>
        <v>0</v>
      </c>
      <c r="D35" s="189" t="str">
        <f t="shared" si="0"/>
        <v>No action required.</v>
      </c>
      <c r="E35" s="151">
        <f>'CIA-Social'!C52</f>
        <v>0</v>
      </c>
      <c r="F35" s="187"/>
      <c r="G35" s="150"/>
      <c r="H35" s="345"/>
      <c r="I35" s="339"/>
      <c r="J35" s="51"/>
      <c r="K35" s="146"/>
      <c r="L35" s="4"/>
      <c r="M35" s="26"/>
    </row>
    <row r="36" spans="1:13" ht="49.5" customHeight="1" x14ac:dyDescent="0.25">
      <c r="A36" s="142"/>
      <c r="B36" s="188" t="s">
        <v>103</v>
      </c>
      <c r="C36" s="162">
        <f>IF('Social Wheel'!I6=20,0,'Social Wheel'!I6)</f>
        <v>0</v>
      </c>
      <c r="D36" s="189" t="str">
        <f t="shared" si="0"/>
        <v>No action required.</v>
      </c>
      <c r="E36" s="151">
        <f>'CIA-Social'!C69</f>
        <v>0</v>
      </c>
      <c r="F36" s="187"/>
      <c r="G36" s="150"/>
      <c r="H36" s="345"/>
      <c r="I36" s="339"/>
      <c r="J36" s="51"/>
      <c r="K36" s="146"/>
      <c r="L36" s="4"/>
      <c r="M36" s="26"/>
    </row>
    <row r="37" spans="1:13" ht="49.5" customHeight="1" x14ac:dyDescent="0.25">
      <c r="A37" s="142"/>
      <c r="B37" s="188" t="s">
        <v>37</v>
      </c>
      <c r="C37" s="162">
        <f>IF('Social Wheel'!I7=20,0,'Social Wheel'!I7)</f>
        <v>0</v>
      </c>
      <c r="D37" s="189" t="str">
        <f t="shared" si="0"/>
        <v>No action required.</v>
      </c>
      <c r="E37" s="151">
        <f>'CIA-Social'!C86</f>
        <v>0</v>
      </c>
      <c r="F37" s="187"/>
      <c r="G37" s="152"/>
      <c r="H37" s="345"/>
      <c r="I37" s="339"/>
      <c r="J37" s="51"/>
      <c r="K37" s="146"/>
      <c r="L37" s="4"/>
      <c r="M37" s="26"/>
    </row>
    <row r="38" spans="1:13" ht="49.5" customHeight="1" x14ac:dyDescent="0.25">
      <c r="A38" s="142"/>
      <c r="B38" s="188" t="s">
        <v>125</v>
      </c>
      <c r="C38" s="162">
        <f>IF('Social Wheel'!I8=20,0,'Social Wheel'!I8)</f>
        <v>0</v>
      </c>
      <c r="D38" s="189" t="str">
        <f t="shared" si="0"/>
        <v>No action required.</v>
      </c>
      <c r="E38" s="151">
        <f>'CIA-Social'!C103</f>
        <v>0</v>
      </c>
      <c r="F38" s="187"/>
      <c r="G38" s="150"/>
      <c r="H38" s="345"/>
      <c r="I38" s="339"/>
      <c r="J38" s="51"/>
      <c r="K38" s="146"/>
      <c r="L38" s="4"/>
      <c r="M38" s="26"/>
    </row>
    <row r="39" spans="1:13" ht="49.5" customHeight="1" x14ac:dyDescent="0.25">
      <c r="A39" s="142"/>
      <c r="B39" s="188" t="s">
        <v>107</v>
      </c>
      <c r="C39" s="162">
        <f>IF('Social Wheel'!I9=20,0,'Social Wheel'!I9)</f>
        <v>0</v>
      </c>
      <c r="D39" s="189" t="str">
        <f t="shared" si="0"/>
        <v>No action required.</v>
      </c>
      <c r="E39" s="151">
        <f>'CIA-Social'!C120</f>
        <v>0</v>
      </c>
      <c r="F39" s="187"/>
      <c r="G39" s="150"/>
      <c r="H39" s="345"/>
      <c r="I39" s="339"/>
      <c r="J39" s="51"/>
      <c r="K39" s="146"/>
      <c r="L39" s="4"/>
      <c r="M39" s="26"/>
    </row>
    <row r="40" spans="1:13" ht="49.5" customHeight="1" x14ac:dyDescent="0.25">
      <c r="A40" s="142"/>
      <c r="B40" s="188" t="s">
        <v>127</v>
      </c>
      <c r="C40" s="162">
        <f>IF('Social Wheel'!I10=20,0,'Social Wheel'!I10)</f>
        <v>0</v>
      </c>
      <c r="D40" s="189" t="str">
        <f t="shared" si="0"/>
        <v>No action required.</v>
      </c>
      <c r="E40" s="151">
        <f>'CIA-Social'!C137</f>
        <v>0</v>
      </c>
      <c r="F40" s="187"/>
      <c r="G40" s="150"/>
      <c r="H40" s="345"/>
      <c r="I40" s="339"/>
      <c r="J40" s="51"/>
      <c r="K40" s="146"/>
      <c r="L40" s="4"/>
      <c r="M40" s="26"/>
    </row>
    <row r="41" spans="1:13" ht="49.5" customHeight="1" x14ac:dyDescent="0.25">
      <c r="A41" s="142"/>
      <c r="B41" s="188" t="s">
        <v>109</v>
      </c>
      <c r="C41" s="162">
        <f>IF('Social Wheel'!I11=20,0,'Social Wheel'!I11)</f>
        <v>0</v>
      </c>
      <c r="D41" s="189" t="str">
        <f t="shared" si="0"/>
        <v>No action required.</v>
      </c>
      <c r="E41" s="151">
        <f>'CIA-Social'!C154</f>
        <v>0</v>
      </c>
      <c r="F41" s="187"/>
      <c r="G41" s="150"/>
      <c r="H41" s="345"/>
      <c r="I41" s="339"/>
      <c r="J41" s="51"/>
      <c r="K41" s="146"/>
      <c r="L41" s="4"/>
      <c r="M41" s="26"/>
    </row>
    <row r="42" spans="1:13" ht="49.5" customHeight="1" x14ac:dyDescent="0.25">
      <c r="A42" s="142"/>
      <c r="B42" s="188" t="s">
        <v>128</v>
      </c>
      <c r="C42" s="162">
        <f>IF('Social Wheel'!I12=20,0,'Social Wheel'!I12)</f>
        <v>0</v>
      </c>
      <c r="D42" s="189" t="str">
        <f t="shared" si="0"/>
        <v>No action required.</v>
      </c>
      <c r="E42" s="151">
        <f>'CIA-Social'!C188</f>
        <v>0</v>
      </c>
      <c r="F42" s="187"/>
      <c r="G42" s="150"/>
      <c r="H42" s="345"/>
      <c r="I42" s="339"/>
      <c r="J42" s="51"/>
      <c r="K42" s="146"/>
      <c r="L42" s="4"/>
      <c r="M42" s="26"/>
    </row>
    <row r="43" spans="1:13" ht="49.5" customHeight="1" x14ac:dyDescent="0.25">
      <c r="A43" s="142"/>
      <c r="B43" s="188" t="s">
        <v>111</v>
      </c>
      <c r="C43" s="162">
        <f>IF('Social Wheel'!I13=20,0,'Social Wheel'!I13)</f>
        <v>0</v>
      </c>
      <c r="D43" s="189" t="str">
        <f t="shared" si="0"/>
        <v>No action required.</v>
      </c>
      <c r="E43" s="151">
        <f>'CIA-Social'!C171</f>
        <v>0</v>
      </c>
      <c r="F43" s="187"/>
      <c r="G43" s="150"/>
      <c r="H43" s="345"/>
      <c r="I43" s="339"/>
      <c r="J43" s="51"/>
      <c r="K43" s="146"/>
      <c r="L43" s="4"/>
      <c r="M43" s="26"/>
    </row>
    <row r="44" spans="1:13" ht="54" customHeight="1" x14ac:dyDescent="0.25">
      <c r="A44" s="142"/>
      <c r="B44" s="142"/>
      <c r="C44" s="142"/>
      <c r="D44" s="142"/>
      <c r="E44" s="142"/>
      <c r="F44" s="186" t="s">
        <v>402</v>
      </c>
      <c r="G44" s="187" t="str">
        <f>FORMULAS!C26</f>
        <v>REVIEW INCOMPLETE</v>
      </c>
      <c r="H44" s="142"/>
      <c r="I44" s="142"/>
      <c r="J44" s="51"/>
      <c r="K44" s="146"/>
      <c r="L44" s="4"/>
    </row>
    <row r="45" spans="1:13" s="146" customFormat="1" x14ac:dyDescent="0.25">
      <c r="A45" s="142"/>
      <c r="B45" s="142"/>
      <c r="C45" s="142"/>
      <c r="D45" s="142"/>
      <c r="E45" s="142"/>
      <c r="F45" s="142"/>
      <c r="G45" s="142"/>
      <c r="H45" s="142"/>
      <c r="I45" s="142"/>
      <c r="J45" s="142"/>
      <c r="L45" s="4"/>
    </row>
    <row r="46" spans="1:13" s="146" customFormat="1" x14ac:dyDescent="0.25"/>
    <row r="47" spans="1:13" ht="115.5" customHeight="1" x14ac:dyDescent="0.25">
      <c r="B47" s="343" t="s">
        <v>382</v>
      </c>
      <c r="C47" s="343"/>
      <c r="D47" s="343"/>
      <c r="E47" s="343"/>
      <c r="F47" s="343"/>
      <c r="G47" s="343"/>
      <c r="H47" s="343"/>
      <c r="I47" s="343"/>
      <c r="K47" s="146"/>
      <c r="L47" s="146"/>
    </row>
    <row r="48" spans="1:13" ht="59.25" customHeight="1" x14ac:dyDescent="0.25">
      <c r="B48" s="343" t="s">
        <v>381</v>
      </c>
      <c r="C48" s="343"/>
      <c r="D48" s="343"/>
      <c r="E48" s="343"/>
      <c r="F48" s="343"/>
      <c r="G48" s="343"/>
      <c r="H48" s="343"/>
      <c r="I48" s="343"/>
    </row>
    <row r="49" spans="2:9" x14ac:dyDescent="0.25">
      <c r="B49" s="342"/>
      <c r="C49" s="342"/>
      <c r="D49" s="342"/>
      <c r="E49" s="342"/>
      <c r="F49" s="342"/>
      <c r="G49" s="342"/>
      <c r="H49" s="342"/>
      <c r="I49" s="342"/>
    </row>
  </sheetData>
  <mergeCells count="34">
    <mergeCell ref="B2:D2"/>
    <mergeCell ref="B49:I49"/>
    <mergeCell ref="B47:I47"/>
    <mergeCell ref="B48:I48"/>
    <mergeCell ref="H21:H31"/>
    <mergeCell ref="H33:H43"/>
    <mergeCell ref="I33:I43"/>
    <mergeCell ref="I21:I30"/>
    <mergeCell ref="I4:J4"/>
    <mergeCell ref="D5:F5"/>
    <mergeCell ref="D6:F6"/>
    <mergeCell ref="D7:F7"/>
    <mergeCell ref="B16:D17"/>
    <mergeCell ref="C14:D14"/>
    <mergeCell ref="B10:C10"/>
    <mergeCell ref="B11:C11"/>
    <mergeCell ref="B12:C12"/>
    <mergeCell ref="D10:F10"/>
    <mergeCell ref="D11:F11"/>
    <mergeCell ref="D12:F12"/>
    <mergeCell ref="E14:F14"/>
    <mergeCell ref="E16:F17"/>
    <mergeCell ref="C15:D15"/>
    <mergeCell ref="D9:F9"/>
    <mergeCell ref="E20:F20"/>
    <mergeCell ref="B3:D3"/>
    <mergeCell ref="B5:C5"/>
    <mergeCell ref="B6:C6"/>
    <mergeCell ref="B7:C7"/>
    <mergeCell ref="B9:C9"/>
    <mergeCell ref="D8:F8"/>
    <mergeCell ref="B19:G19"/>
    <mergeCell ref="B8:C8"/>
    <mergeCell ref="E15:F15"/>
  </mergeCells>
  <conditionalFormatting sqref="C22:C31 C33:C43">
    <cfRule type="cellIs" dxfId="15" priority="10" operator="equal">
      <formula>0</formula>
    </cfRule>
    <cfRule type="cellIs" dxfId="14" priority="11" operator="between">
      <formula>4</formula>
      <formula>8</formula>
    </cfRule>
    <cfRule type="cellIs" dxfId="13" priority="12" operator="between">
      <formula>1</formula>
      <formula>3</formula>
    </cfRule>
    <cfRule type="cellIs" dxfId="12" priority="13" operator="between">
      <formula>-3</formula>
      <formula>-1</formula>
    </cfRule>
    <cfRule type="cellIs" dxfId="11" priority="14" operator="lessThan">
      <formula>-3</formula>
    </cfRule>
  </conditionalFormatting>
  <conditionalFormatting sqref="C15:D15">
    <cfRule type="containsText" dxfId="10" priority="1" operator="containsText" text="incomplete">
      <formula>NOT(ISERROR(SEARCH("incomplete",C15)))</formula>
    </cfRule>
    <cfRule type="containsText" dxfId="9" priority="2" operator="containsText" text="Exceptions">
      <formula>NOT(ISERROR(SEARCH("Exceptions",C15)))</formula>
    </cfRule>
    <cfRule type="containsText" dxfId="8" priority="3" operator="containsText" text="Not">
      <formula>NOT(ISERROR(SEARCH("Not",C15)))</formula>
    </cfRule>
    <cfRule type="cellIs" dxfId="7" priority="16" operator="equal">
      <formula>"NO CIA REQUIRED"</formula>
    </cfRule>
    <cfRule type="cellIs" dxfId="6" priority="17" operator="equal">
      <formula>"CIA REQUIRED"</formula>
    </cfRule>
  </conditionalFormatting>
  <conditionalFormatting sqref="F22:F31 F33:F43">
    <cfRule type="containsText" dxfId="5" priority="29" operator="containsText" text="rejected">
      <formula>NOT(ISERROR(SEARCH("rejected",F22)))</formula>
    </cfRule>
    <cfRule type="containsText" dxfId="4" priority="30" operator="containsText" text="queried">
      <formula>NOT(ISERROR(SEARCH("queried",F22)))</formula>
    </cfRule>
    <cfRule type="containsText" dxfId="3" priority="31" operator="containsText" text="accepted">
      <formula>NOT(ISERROR(SEARCH("accepted",F22)))</formula>
    </cfRule>
  </conditionalFormatting>
  <conditionalFormatting sqref="G44">
    <cfRule type="cellIs" dxfId="2" priority="7" operator="equal">
      <formula>"REVIEW INCOMPLETE"</formula>
    </cfRule>
    <cfRule type="cellIs" dxfId="1" priority="8" operator="equal">
      <formula>"ITEMS QUERIED/REJECTED - RETURN TO OFFICER"</formula>
    </cfRule>
    <cfRule type="cellIs" dxfId="0" priority="9" operator="equal">
      <formula>"REVIEW COMPLETE - READY TO PASS TO DECISION MAKER/S"</formula>
    </cfRule>
  </conditionalFormatting>
  <pageMargins left="0.23622047244094491" right="0.23622047244094491" top="0.19685039370078741" bottom="0.19685039370078741" header="0" footer="0"/>
  <pageSetup paperSize="8" scale="44" orientation="landscape" r:id="rId1"/>
  <ignoredErrors>
    <ignoredError sqref="E16 G44 C15"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'Drop downs'!$L$2:$L$4</xm:f>
          </x14:formula1>
          <xm:sqref>F22:F31 F33:F43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EB3CD"/>
  </sheetPr>
  <dimension ref="A1:J332"/>
  <sheetViews>
    <sheetView workbookViewId="0">
      <selection activeCell="C2" sqref="C2"/>
    </sheetView>
  </sheetViews>
  <sheetFormatPr defaultRowHeight="15" x14ac:dyDescent="0.25"/>
  <cols>
    <col min="1" max="1" width="2.140625" customWidth="1"/>
    <col min="2" max="2" width="4.140625" style="202" customWidth="1"/>
    <col min="3" max="3" width="102.42578125" style="201" customWidth="1"/>
    <col min="4" max="4" width="82.140625" customWidth="1"/>
    <col min="5" max="5" width="10" customWidth="1"/>
    <col min="6" max="6" width="2.5703125" customWidth="1"/>
    <col min="7" max="10" width="9.140625" style="4"/>
  </cols>
  <sheetData>
    <row r="1" spans="1:10" ht="21" x14ac:dyDescent="0.35">
      <c r="A1" s="4"/>
      <c r="B1" s="351" t="s">
        <v>451</v>
      </c>
      <c r="C1" s="351"/>
      <c r="D1" s="351"/>
      <c r="E1" s="208"/>
      <c r="F1" s="4"/>
    </row>
    <row r="2" spans="1:10" x14ac:dyDescent="0.25">
      <c r="A2" s="4"/>
      <c r="B2" s="118" t="s">
        <v>131</v>
      </c>
      <c r="C2" s="5"/>
      <c r="D2" s="4"/>
      <c r="E2" s="4"/>
      <c r="F2" s="4"/>
    </row>
    <row r="3" spans="1:10" x14ac:dyDescent="0.25">
      <c r="A3" s="4"/>
      <c r="B3" s="118"/>
      <c r="C3" s="209" t="s">
        <v>460</v>
      </c>
      <c r="D3" s="4"/>
      <c r="E3" s="4"/>
      <c r="F3" s="4"/>
    </row>
    <row r="4" spans="1:10" x14ac:dyDescent="0.25">
      <c r="A4" s="4"/>
      <c r="B4" s="118">
        <v>1</v>
      </c>
      <c r="C4" s="210" t="s">
        <v>427</v>
      </c>
      <c r="D4" s="4"/>
      <c r="E4" s="4"/>
      <c r="F4" s="4"/>
    </row>
    <row r="5" spans="1:10" x14ac:dyDescent="0.25">
      <c r="A5" s="4"/>
      <c r="B5" s="118">
        <v>2</v>
      </c>
      <c r="C5" s="210" t="s">
        <v>129</v>
      </c>
      <c r="D5" s="4"/>
      <c r="E5" s="4"/>
      <c r="F5" s="4"/>
    </row>
    <row r="6" spans="1:10" x14ac:dyDescent="0.25">
      <c r="A6" s="4"/>
      <c r="B6" s="118">
        <v>3</v>
      </c>
      <c r="C6" s="210" t="s">
        <v>441</v>
      </c>
      <c r="D6" s="4"/>
      <c r="E6" s="4"/>
      <c r="F6" s="4"/>
    </row>
    <row r="7" spans="1:10" x14ac:dyDescent="0.25">
      <c r="A7" s="4"/>
      <c r="B7" s="118">
        <v>4</v>
      </c>
      <c r="C7" s="210" t="s">
        <v>431</v>
      </c>
      <c r="D7" s="4"/>
      <c r="E7" s="4"/>
      <c r="F7" s="4"/>
    </row>
    <row r="8" spans="1:10" x14ac:dyDescent="0.25">
      <c r="A8" s="4"/>
      <c r="B8" s="118">
        <v>5</v>
      </c>
      <c r="C8" s="210" t="s">
        <v>440</v>
      </c>
      <c r="D8" s="4"/>
      <c r="E8" s="4"/>
      <c r="F8" s="4"/>
    </row>
    <row r="9" spans="1:10" x14ac:dyDescent="0.25">
      <c r="A9" s="4"/>
      <c r="B9" s="118">
        <v>6</v>
      </c>
      <c r="C9" s="210" t="s">
        <v>432</v>
      </c>
      <c r="D9" s="4"/>
      <c r="E9" s="4"/>
      <c r="F9" s="4"/>
    </row>
    <row r="10" spans="1:10" x14ac:dyDescent="0.25">
      <c r="A10" s="4"/>
      <c r="B10" s="118">
        <v>7</v>
      </c>
      <c r="C10" s="210" t="s">
        <v>551</v>
      </c>
      <c r="D10" s="4"/>
      <c r="E10" s="4"/>
      <c r="F10" s="4"/>
    </row>
    <row r="11" spans="1:10" x14ac:dyDescent="0.25">
      <c r="A11" s="4"/>
      <c r="B11" s="118">
        <v>8</v>
      </c>
      <c r="C11" s="210" t="s">
        <v>92</v>
      </c>
      <c r="D11" s="4"/>
      <c r="E11" s="4"/>
      <c r="F11" s="4"/>
    </row>
    <row r="12" spans="1:10" x14ac:dyDescent="0.25">
      <c r="A12" s="4"/>
      <c r="B12" s="118">
        <v>9</v>
      </c>
      <c r="C12" s="210" t="s">
        <v>93</v>
      </c>
      <c r="D12" s="4"/>
      <c r="E12" s="4"/>
      <c r="F12" s="4"/>
    </row>
    <row r="13" spans="1:10" x14ac:dyDescent="0.25">
      <c r="A13" s="4"/>
      <c r="B13" s="118">
        <v>10</v>
      </c>
      <c r="C13" s="210" t="s">
        <v>94</v>
      </c>
      <c r="D13" s="4"/>
      <c r="E13" s="4"/>
      <c r="F13" s="4"/>
    </row>
    <row r="14" spans="1:10" x14ac:dyDescent="0.25">
      <c r="A14" s="4"/>
      <c r="B14" s="118" t="s">
        <v>449</v>
      </c>
      <c r="C14" s="5"/>
      <c r="D14" s="4"/>
      <c r="E14" s="4"/>
      <c r="F14" s="4"/>
    </row>
    <row r="15" spans="1:10" s="3" customFormat="1" x14ac:dyDescent="0.25">
      <c r="A15" s="5"/>
      <c r="B15" s="5"/>
      <c r="C15" s="209" t="s">
        <v>460</v>
      </c>
      <c r="D15" s="5"/>
      <c r="E15" s="5"/>
      <c r="F15" s="5"/>
      <c r="G15" s="5"/>
      <c r="H15" s="5"/>
      <c r="I15" s="5"/>
      <c r="J15" s="5"/>
    </row>
    <row r="16" spans="1:10" x14ac:dyDescent="0.25">
      <c r="A16" s="4"/>
      <c r="B16" s="118">
        <v>1</v>
      </c>
      <c r="C16" s="210" t="s">
        <v>433</v>
      </c>
      <c r="D16" s="4"/>
      <c r="E16" s="4"/>
      <c r="F16" s="4"/>
    </row>
    <row r="17" spans="1:6" x14ac:dyDescent="0.25">
      <c r="A17" s="4"/>
      <c r="B17" s="118">
        <v>2</v>
      </c>
      <c r="C17" s="210" t="s">
        <v>443</v>
      </c>
      <c r="D17" s="4"/>
      <c r="E17" s="4"/>
      <c r="F17" s="4"/>
    </row>
    <row r="18" spans="1:6" x14ac:dyDescent="0.25">
      <c r="A18" s="4"/>
      <c r="B18" s="118">
        <v>3</v>
      </c>
      <c r="C18" s="210" t="s">
        <v>442</v>
      </c>
      <c r="D18" s="4"/>
      <c r="E18" s="4"/>
      <c r="F18" s="4"/>
    </row>
    <row r="19" spans="1:6" x14ac:dyDescent="0.25">
      <c r="A19" s="4"/>
      <c r="B19" s="118">
        <v>4</v>
      </c>
      <c r="C19" s="210" t="s">
        <v>103</v>
      </c>
      <c r="D19" s="4"/>
      <c r="E19" s="4"/>
      <c r="F19" s="4"/>
    </row>
    <row r="20" spans="1:6" x14ac:dyDescent="0.25">
      <c r="A20" s="4"/>
      <c r="B20" s="118">
        <v>5</v>
      </c>
      <c r="C20" s="210" t="s">
        <v>444</v>
      </c>
      <c r="D20" s="4"/>
      <c r="E20" s="4"/>
      <c r="F20" s="4"/>
    </row>
    <row r="21" spans="1:6" x14ac:dyDescent="0.25">
      <c r="A21" s="4"/>
      <c r="B21" s="118">
        <v>6</v>
      </c>
      <c r="C21" s="210" t="s">
        <v>106</v>
      </c>
      <c r="D21" s="4"/>
      <c r="E21" s="4"/>
      <c r="F21" s="4"/>
    </row>
    <row r="22" spans="1:6" x14ac:dyDescent="0.25">
      <c r="A22" s="4"/>
      <c r="B22" s="118">
        <v>7</v>
      </c>
      <c r="C22" s="210" t="s">
        <v>447</v>
      </c>
      <c r="D22" s="4"/>
      <c r="E22" s="4"/>
      <c r="F22" s="4"/>
    </row>
    <row r="23" spans="1:6" x14ac:dyDescent="0.25">
      <c r="A23" s="4"/>
      <c r="B23" s="118">
        <v>8</v>
      </c>
      <c r="C23" s="210" t="s">
        <v>127</v>
      </c>
      <c r="D23" s="4"/>
      <c r="E23" s="4"/>
      <c r="F23" s="4"/>
    </row>
    <row r="24" spans="1:6" x14ac:dyDescent="0.25">
      <c r="A24" s="4"/>
      <c r="B24" s="118">
        <v>9</v>
      </c>
      <c r="C24" s="210" t="s">
        <v>445</v>
      </c>
      <c r="E24" s="4"/>
      <c r="F24" s="4"/>
    </row>
    <row r="25" spans="1:6" x14ac:dyDescent="0.25">
      <c r="A25" s="4"/>
      <c r="B25" s="118">
        <v>10</v>
      </c>
      <c r="C25" s="210" t="s">
        <v>448</v>
      </c>
      <c r="D25" s="4"/>
      <c r="E25" s="4"/>
      <c r="F25" s="4"/>
    </row>
    <row r="26" spans="1:6" x14ac:dyDescent="0.25">
      <c r="A26" s="4"/>
      <c r="B26" s="118">
        <v>11</v>
      </c>
      <c r="C26" s="210" t="s">
        <v>446</v>
      </c>
      <c r="D26" s="4"/>
      <c r="E26" s="4"/>
      <c r="F26" s="4"/>
    </row>
    <row r="27" spans="1:6" x14ac:dyDescent="0.25">
      <c r="A27" s="4"/>
      <c r="B27" s="118"/>
      <c r="C27" s="210"/>
      <c r="D27" s="4"/>
      <c r="E27" s="4"/>
      <c r="F27" s="4"/>
    </row>
    <row r="28" spans="1:6" ht="9.75" customHeight="1" x14ac:dyDescent="0.25">
      <c r="A28" s="72"/>
      <c r="B28" s="203"/>
      <c r="C28" s="204"/>
      <c r="D28" s="72"/>
      <c r="E28" s="72"/>
      <c r="F28" s="72"/>
    </row>
    <row r="29" spans="1:6" ht="18.75" x14ac:dyDescent="0.3">
      <c r="A29" s="72"/>
      <c r="B29" s="205">
        <v>1</v>
      </c>
      <c r="C29" s="6" t="s">
        <v>427</v>
      </c>
      <c r="D29" s="4"/>
      <c r="E29" s="4"/>
      <c r="F29" s="72"/>
    </row>
    <row r="30" spans="1:6" ht="14.25" customHeight="1" x14ac:dyDescent="0.25">
      <c r="A30" s="72"/>
      <c r="B30" s="206"/>
      <c r="C30" s="207" t="s">
        <v>296</v>
      </c>
      <c r="D30" s="4"/>
      <c r="E30" s="4"/>
      <c r="F30" s="72"/>
    </row>
    <row r="31" spans="1:6" ht="49.5" customHeight="1" x14ac:dyDescent="0.25">
      <c r="A31" s="72"/>
      <c r="B31" s="206"/>
      <c r="C31" s="215" t="s">
        <v>429</v>
      </c>
      <c r="D31" s="215"/>
      <c r="E31" s="78"/>
      <c r="F31" s="72"/>
    </row>
    <row r="32" spans="1:6" x14ac:dyDescent="0.25">
      <c r="A32" s="72"/>
      <c r="B32" s="206"/>
      <c r="C32" s="207" t="s">
        <v>337</v>
      </c>
      <c r="D32" s="4"/>
      <c r="E32" s="4"/>
      <c r="F32" s="72"/>
    </row>
    <row r="33" spans="1:6" ht="110.25" customHeight="1" x14ac:dyDescent="0.25">
      <c r="A33" s="72"/>
      <c r="B33" s="206"/>
      <c r="C33" s="215" t="s">
        <v>437</v>
      </c>
      <c r="D33" s="215"/>
      <c r="E33" s="78"/>
      <c r="F33" s="72"/>
    </row>
    <row r="34" spans="1:6" ht="114" customHeight="1" x14ac:dyDescent="0.25">
      <c r="A34" s="72"/>
      <c r="B34" s="206"/>
      <c r="C34" s="78" t="s">
        <v>452</v>
      </c>
      <c r="D34" s="27" t="s">
        <v>453</v>
      </c>
      <c r="E34" s="27"/>
      <c r="F34" s="72"/>
    </row>
    <row r="35" spans="1:6" ht="18" customHeight="1" x14ac:dyDescent="0.25">
      <c r="A35" s="72"/>
      <c r="B35" s="206"/>
      <c r="C35" s="215" t="s">
        <v>454</v>
      </c>
      <c r="D35" s="215"/>
      <c r="E35" s="4"/>
      <c r="F35" s="72"/>
    </row>
    <row r="36" spans="1:6" x14ac:dyDescent="0.25">
      <c r="A36" s="72"/>
      <c r="B36" s="206"/>
      <c r="C36" s="207" t="s">
        <v>428</v>
      </c>
      <c r="D36" s="4"/>
      <c r="E36" s="4"/>
      <c r="F36" s="72"/>
    </row>
    <row r="37" spans="1:6" ht="21.75" customHeight="1" x14ac:dyDescent="0.25">
      <c r="A37" s="72"/>
      <c r="B37" s="206"/>
      <c r="C37" s="215" t="s">
        <v>459</v>
      </c>
      <c r="D37" s="215"/>
      <c r="E37" s="4"/>
      <c r="F37" s="72"/>
    </row>
    <row r="38" spans="1:6" x14ac:dyDescent="0.25">
      <c r="A38" s="72"/>
      <c r="B38" s="350" t="s">
        <v>450</v>
      </c>
      <c r="C38" s="350"/>
      <c r="D38" s="350"/>
      <c r="E38" s="350"/>
      <c r="F38" s="72"/>
    </row>
    <row r="39" spans="1:6" ht="18.75" x14ac:dyDescent="0.3">
      <c r="A39" s="72"/>
      <c r="B39" s="205">
        <v>2</v>
      </c>
      <c r="C39" s="6" t="s">
        <v>129</v>
      </c>
      <c r="D39" s="4"/>
      <c r="E39" s="4"/>
      <c r="F39" s="72"/>
    </row>
    <row r="40" spans="1:6" ht="14.25" customHeight="1" x14ac:dyDescent="0.25">
      <c r="A40" s="72"/>
      <c r="B40" s="206"/>
      <c r="C40" s="207" t="s">
        <v>296</v>
      </c>
      <c r="D40" s="4"/>
      <c r="E40" s="4"/>
      <c r="F40" s="72"/>
    </row>
    <row r="41" spans="1:6" ht="49.5" customHeight="1" x14ac:dyDescent="0.25">
      <c r="A41" s="72"/>
      <c r="B41" s="206"/>
      <c r="C41" s="215" t="s">
        <v>438</v>
      </c>
      <c r="D41" s="215"/>
      <c r="E41" s="4"/>
      <c r="F41" s="72"/>
    </row>
    <row r="42" spans="1:6" x14ac:dyDescent="0.25">
      <c r="A42" s="72"/>
      <c r="B42" s="206"/>
      <c r="C42" s="207" t="s">
        <v>337</v>
      </c>
      <c r="D42" s="4"/>
      <c r="E42" s="4"/>
      <c r="F42" s="72"/>
    </row>
    <row r="43" spans="1:6" ht="36.75" customHeight="1" x14ac:dyDescent="0.25">
      <c r="A43" s="72"/>
      <c r="B43" s="206"/>
      <c r="C43" s="215" t="s">
        <v>439</v>
      </c>
      <c r="D43" s="215"/>
      <c r="E43" s="4"/>
      <c r="F43" s="72"/>
    </row>
    <row r="44" spans="1:6" ht="84" customHeight="1" x14ac:dyDescent="0.25">
      <c r="A44" s="72"/>
      <c r="B44" s="206"/>
      <c r="C44" s="78" t="s">
        <v>456</v>
      </c>
      <c r="D44" s="78" t="s">
        <v>455</v>
      </c>
      <c r="E44" s="4"/>
      <c r="F44" s="72"/>
    </row>
    <row r="45" spans="1:6" ht="24.75" customHeight="1" x14ac:dyDescent="0.25">
      <c r="A45" s="72"/>
      <c r="B45" s="206"/>
      <c r="C45" s="215" t="s">
        <v>457</v>
      </c>
      <c r="D45" s="215"/>
      <c r="E45" s="4"/>
      <c r="F45" s="72"/>
    </row>
    <row r="46" spans="1:6" x14ac:dyDescent="0.25">
      <c r="A46" s="72"/>
      <c r="B46" s="206"/>
      <c r="C46" s="207" t="s">
        <v>428</v>
      </c>
      <c r="D46" s="4"/>
      <c r="E46" s="4"/>
      <c r="F46" s="72"/>
    </row>
    <row r="47" spans="1:6" ht="34.5" customHeight="1" x14ac:dyDescent="0.25">
      <c r="A47" s="72"/>
      <c r="B47" s="206"/>
      <c r="C47" s="215" t="s">
        <v>458</v>
      </c>
      <c r="D47" s="215"/>
      <c r="E47" s="4"/>
      <c r="F47" s="72"/>
    </row>
    <row r="48" spans="1:6" x14ac:dyDescent="0.25">
      <c r="A48" s="72"/>
      <c r="B48" s="350" t="s">
        <v>450</v>
      </c>
      <c r="C48" s="350"/>
      <c r="D48" s="350"/>
      <c r="E48" s="350"/>
      <c r="F48" s="72"/>
    </row>
    <row r="49" spans="1:6" ht="18.75" x14ac:dyDescent="0.3">
      <c r="A49" s="72"/>
      <c r="B49" s="205">
        <v>3</v>
      </c>
      <c r="C49" s="6" t="s">
        <v>87</v>
      </c>
      <c r="D49" s="4"/>
      <c r="E49" s="4"/>
      <c r="F49" s="72"/>
    </row>
    <row r="50" spans="1:6" ht="14.25" customHeight="1" x14ac:dyDescent="0.25">
      <c r="A50" s="72"/>
      <c r="B50" s="206"/>
      <c r="C50" s="207" t="s">
        <v>296</v>
      </c>
      <c r="D50" s="4"/>
      <c r="E50" s="4"/>
      <c r="F50" s="72"/>
    </row>
    <row r="51" spans="1:6" ht="24" customHeight="1" x14ac:dyDescent="0.25">
      <c r="A51" s="72"/>
      <c r="B51" s="206"/>
      <c r="C51" s="215" t="s">
        <v>461</v>
      </c>
      <c r="D51" s="215"/>
      <c r="E51" s="4"/>
      <c r="F51" s="72"/>
    </row>
    <row r="52" spans="1:6" x14ac:dyDescent="0.25">
      <c r="A52" s="72"/>
      <c r="B52" s="206"/>
      <c r="C52" s="207" t="s">
        <v>337</v>
      </c>
      <c r="D52" s="4"/>
      <c r="E52" s="4"/>
      <c r="F52" s="72"/>
    </row>
    <row r="53" spans="1:6" ht="51" customHeight="1" x14ac:dyDescent="0.25">
      <c r="A53" s="72"/>
      <c r="B53" s="206"/>
      <c r="C53" s="215" t="s">
        <v>567</v>
      </c>
      <c r="D53" s="215"/>
      <c r="E53" s="4"/>
      <c r="F53" s="72"/>
    </row>
    <row r="54" spans="1:6" ht="81.75" customHeight="1" x14ac:dyDescent="0.25">
      <c r="A54" s="72"/>
      <c r="B54" s="206"/>
      <c r="C54" s="78" t="s">
        <v>464</v>
      </c>
      <c r="D54" s="86" t="s">
        <v>462</v>
      </c>
      <c r="E54" s="4"/>
      <c r="F54" s="72"/>
    </row>
    <row r="55" spans="1:6" ht="21.75" customHeight="1" x14ac:dyDescent="0.25">
      <c r="A55" s="72"/>
      <c r="B55" s="206"/>
      <c r="C55" s="215" t="s">
        <v>463</v>
      </c>
      <c r="D55" s="215"/>
      <c r="E55" s="4"/>
      <c r="F55" s="72"/>
    </row>
    <row r="56" spans="1:6" x14ac:dyDescent="0.25">
      <c r="A56" s="72"/>
      <c r="B56" s="206"/>
      <c r="C56" s="207" t="s">
        <v>428</v>
      </c>
      <c r="D56" s="4"/>
      <c r="E56" s="4"/>
      <c r="F56" s="72"/>
    </row>
    <row r="57" spans="1:6" ht="36.75" customHeight="1" x14ac:dyDescent="0.25">
      <c r="A57" s="72"/>
      <c r="B57" s="206"/>
      <c r="C57" s="215" t="s">
        <v>465</v>
      </c>
      <c r="D57" s="215"/>
      <c r="E57" s="4"/>
      <c r="F57" s="72"/>
    </row>
    <row r="58" spans="1:6" x14ac:dyDescent="0.25">
      <c r="A58" s="72"/>
      <c r="B58" s="350" t="s">
        <v>450</v>
      </c>
      <c r="C58" s="350"/>
      <c r="D58" s="350"/>
      <c r="E58" s="350"/>
      <c r="F58" s="72"/>
    </row>
    <row r="59" spans="1:6" ht="18.75" x14ac:dyDescent="0.3">
      <c r="A59" s="72"/>
      <c r="B59" s="205">
        <v>4</v>
      </c>
      <c r="C59" s="6" t="s">
        <v>431</v>
      </c>
      <c r="D59" s="4"/>
      <c r="E59" s="4"/>
      <c r="F59" s="72"/>
    </row>
    <row r="60" spans="1:6" ht="14.25" customHeight="1" x14ac:dyDescent="0.25">
      <c r="A60" s="72"/>
      <c r="B60" s="206"/>
      <c r="C60" s="207" t="s">
        <v>296</v>
      </c>
      <c r="D60" s="4"/>
      <c r="E60" s="4"/>
      <c r="F60" s="72"/>
    </row>
    <row r="61" spans="1:6" ht="55.5" customHeight="1" x14ac:dyDescent="0.25">
      <c r="A61" s="72"/>
      <c r="B61" s="206"/>
      <c r="C61" s="215" t="s">
        <v>466</v>
      </c>
      <c r="D61" s="215"/>
      <c r="E61" s="4"/>
      <c r="F61" s="72"/>
    </row>
    <row r="62" spans="1:6" x14ac:dyDescent="0.25">
      <c r="A62" s="72"/>
      <c r="B62" s="206"/>
      <c r="C62" s="207" t="s">
        <v>337</v>
      </c>
      <c r="D62" s="4"/>
      <c r="E62" s="4"/>
      <c r="F62" s="72"/>
    </row>
    <row r="63" spans="1:6" ht="50.25" customHeight="1" x14ac:dyDescent="0.25">
      <c r="A63" s="72"/>
      <c r="B63" s="206"/>
      <c r="C63" s="215" t="s">
        <v>467</v>
      </c>
      <c r="D63" s="215"/>
      <c r="E63" s="4"/>
      <c r="F63" s="72"/>
    </row>
    <row r="64" spans="1:6" ht="102.75" customHeight="1" x14ac:dyDescent="0.25">
      <c r="A64" s="72"/>
      <c r="B64" s="206"/>
      <c r="C64" s="78" t="s">
        <v>468</v>
      </c>
      <c r="D64" s="27" t="s">
        <v>469</v>
      </c>
      <c r="E64" s="4"/>
      <c r="F64" s="72"/>
    </row>
    <row r="65" spans="1:6" x14ac:dyDescent="0.25">
      <c r="A65" s="72"/>
      <c r="B65" s="206"/>
      <c r="C65" s="207" t="s">
        <v>428</v>
      </c>
      <c r="D65" s="4"/>
      <c r="E65" s="4"/>
      <c r="F65" s="72"/>
    </row>
    <row r="66" spans="1:6" ht="54" customHeight="1" x14ac:dyDescent="0.25">
      <c r="A66" s="72"/>
      <c r="B66" s="206"/>
      <c r="C66" s="215" t="s">
        <v>470</v>
      </c>
      <c r="D66" s="215"/>
      <c r="E66" s="4"/>
      <c r="F66" s="72"/>
    </row>
    <row r="67" spans="1:6" x14ac:dyDescent="0.25">
      <c r="A67" s="72"/>
      <c r="B67" s="350" t="s">
        <v>450</v>
      </c>
      <c r="C67" s="350"/>
      <c r="D67" s="350"/>
      <c r="E67" s="350"/>
      <c r="F67" s="72"/>
    </row>
    <row r="68" spans="1:6" ht="18.75" x14ac:dyDescent="0.3">
      <c r="A68" s="72"/>
      <c r="B68" s="205">
        <v>5</v>
      </c>
      <c r="C68" s="6" t="s">
        <v>89</v>
      </c>
      <c r="D68" s="4"/>
      <c r="E68" s="4"/>
      <c r="F68" s="72"/>
    </row>
    <row r="69" spans="1:6" ht="14.25" customHeight="1" x14ac:dyDescent="0.25">
      <c r="A69" s="72"/>
      <c r="B69" s="206"/>
      <c r="C69" s="207" t="s">
        <v>296</v>
      </c>
      <c r="D69" s="4"/>
      <c r="E69" s="4"/>
      <c r="F69" s="72"/>
    </row>
    <row r="70" spans="1:6" ht="63.75" customHeight="1" x14ac:dyDescent="0.25">
      <c r="A70" s="72"/>
      <c r="B70" s="206"/>
      <c r="C70" s="215" t="s">
        <v>471</v>
      </c>
      <c r="D70" s="215"/>
      <c r="E70" s="4"/>
      <c r="F70" s="72"/>
    </row>
    <row r="71" spans="1:6" x14ac:dyDescent="0.25">
      <c r="A71" s="72"/>
      <c r="B71" s="206"/>
      <c r="C71" s="207" t="s">
        <v>337</v>
      </c>
      <c r="D71" s="4"/>
      <c r="E71" s="4"/>
      <c r="F71" s="72"/>
    </row>
    <row r="72" spans="1:6" ht="54" customHeight="1" x14ac:dyDescent="0.25">
      <c r="A72" s="72"/>
      <c r="B72" s="206"/>
      <c r="C72" s="215" t="s">
        <v>472</v>
      </c>
      <c r="D72" s="215"/>
      <c r="E72" s="4"/>
      <c r="F72" s="72"/>
    </row>
    <row r="73" spans="1:6" ht="130.5" customHeight="1" x14ac:dyDescent="0.25">
      <c r="A73" s="72"/>
      <c r="B73" s="206"/>
      <c r="C73" s="78" t="s">
        <v>473</v>
      </c>
      <c r="D73" s="78" t="s">
        <v>474</v>
      </c>
      <c r="E73" s="4"/>
      <c r="F73" s="72"/>
    </row>
    <row r="74" spans="1:6" ht="33.75" customHeight="1" x14ac:dyDescent="0.25">
      <c r="A74" s="72"/>
      <c r="B74" s="206"/>
      <c r="C74" s="215" t="s">
        <v>475</v>
      </c>
      <c r="D74" s="215"/>
      <c r="E74" s="4"/>
      <c r="F74" s="72"/>
    </row>
    <row r="75" spans="1:6" x14ac:dyDescent="0.25">
      <c r="A75" s="72"/>
      <c r="B75" s="206"/>
      <c r="C75" s="207" t="s">
        <v>428</v>
      </c>
      <c r="D75" s="4"/>
      <c r="E75" s="4"/>
      <c r="F75" s="72"/>
    </row>
    <row r="76" spans="1:6" ht="52.5" customHeight="1" x14ac:dyDescent="0.25">
      <c r="A76" s="72"/>
      <c r="B76" s="206"/>
      <c r="C76" s="215" t="s">
        <v>470</v>
      </c>
      <c r="D76" s="215"/>
      <c r="E76" s="4"/>
      <c r="F76" s="72"/>
    </row>
    <row r="77" spans="1:6" x14ac:dyDescent="0.25">
      <c r="A77" s="72"/>
      <c r="B77" s="350" t="s">
        <v>450</v>
      </c>
      <c r="C77" s="350"/>
      <c r="D77" s="350"/>
      <c r="E77" s="350"/>
      <c r="F77" s="72"/>
    </row>
    <row r="78" spans="1:6" ht="18.75" x14ac:dyDescent="0.3">
      <c r="A78" s="72"/>
      <c r="B78" s="205">
        <v>6</v>
      </c>
      <c r="C78" s="6" t="s">
        <v>432</v>
      </c>
      <c r="D78" s="4"/>
      <c r="E78" s="4"/>
      <c r="F78" s="72"/>
    </row>
    <row r="79" spans="1:6" ht="14.25" customHeight="1" x14ac:dyDescent="0.25">
      <c r="A79" s="72"/>
      <c r="B79" s="206"/>
      <c r="C79" s="207" t="s">
        <v>296</v>
      </c>
      <c r="D79" s="4"/>
      <c r="E79" s="4"/>
      <c r="F79" s="72"/>
    </row>
    <row r="80" spans="1:6" ht="35.25" customHeight="1" x14ac:dyDescent="0.25">
      <c r="A80" s="72"/>
      <c r="B80" s="206"/>
      <c r="C80" s="215" t="s">
        <v>476</v>
      </c>
      <c r="D80" s="215"/>
      <c r="E80" s="4"/>
      <c r="F80" s="72"/>
    </row>
    <row r="81" spans="1:6" x14ac:dyDescent="0.25">
      <c r="A81" s="72"/>
      <c r="B81" s="206"/>
      <c r="C81" s="207" t="s">
        <v>337</v>
      </c>
      <c r="D81" s="4"/>
      <c r="E81" s="4"/>
      <c r="F81" s="72"/>
    </row>
    <row r="82" spans="1:6" ht="74.25" customHeight="1" x14ac:dyDescent="0.25">
      <c r="A82" s="72"/>
      <c r="B82" s="206"/>
      <c r="C82" s="215" t="s">
        <v>477</v>
      </c>
      <c r="D82" s="215"/>
      <c r="E82" s="4"/>
      <c r="F82" s="72"/>
    </row>
    <row r="83" spans="1:6" ht="137.25" customHeight="1" x14ac:dyDescent="0.25">
      <c r="A83" s="72"/>
      <c r="B83" s="206"/>
      <c r="C83" s="78" t="s">
        <v>478</v>
      </c>
      <c r="D83" s="78" t="s">
        <v>568</v>
      </c>
      <c r="E83" s="4"/>
      <c r="F83" s="72"/>
    </row>
    <row r="84" spans="1:6" ht="195.75" customHeight="1" x14ac:dyDescent="0.25">
      <c r="A84" s="72"/>
      <c r="B84" s="206"/>
      <c r="C84" s="215" t="s">
        <v>479</v>
      </c>
      <c r="D84" s="215"/>
      <c r="E84" s="4"/>
      <c r="F84" s="72"/>
    </row>
    <row r="85" spans="1:6" x14ac:dyDescent="0.25">
      <c r="A85" s="72"/>
      <c r="B85" s="206"/>
      <c r="C85" s="207" t="s">
        <v>428</v>
      </c>
      <c r="D85" s="4"/>
      <c r="E85" s="4"/>
      <c r="F85" s="72"/>
    </row>
    <row r="86" spans="1:6" ht="78" customHeight="1" x14ac:dyDescent="0.25">
      <c r="A86" s="72"/>
      <c r="B86" s="206"/>
      <c r="C86" s="215" t="s">
        <v>480</v>
      </c>
      <c r="D86" s="215"/>
      <c r="E86" s="4"/>
      <c r="F86" s="72"/>
    </row>
    <row r="87" spans="1:6" x14ac:dyDescent="0.25">
      <c r="A87" s="72"/>
      <c r="B87" s="350" t="s">
        <v>450</v>
      </c>
      <c r="C87" s="350"/>
      <c r="D87" s="350"/>
      <c r="E87" s="350"/>
      <c r="F87" s="72"/>
    </row>
    <row r="88" spans="1:6" ht="18.75" x14ac:dyDescent="0.3">
      <c r="A88" s="72"/>
      <c r="B88" s="205">
        <v>7</v>
      </c>
      <c r="C88" s="6" t="s">
        <v>126</v>
      </c>
      <c r="D88" s="4"/>
      <c r="E88" s="4"/>
      <c r="F88" s="72"/>
    </row>
    <row r="89" spans="1:6" ht="14.25" customHeight="1" x14ac:dyDescent="0.25">
      <c r="A89" s="72"/>
      <c r="B89" s="206"/>
      <c r="C89" s="207" t="s">
        <v>296</v>
      </c>
      <c r="D89" s="4"/>
      <c r="E89" s="4"/>
      <c r="F89" s="72"/>
    </row>
    <row r="90" spans="1:6" ht="49.5" customHeight="1" x14ac:dyDescent="0.25">
      <c r="A90" s="72"/>
      <c r="B90" s="206"/>
      <c r="C90" s="215" t="s">
        <v>481</v>
      </c>
      <c r="D90" s="215"/>
      <c r="E90" s="4"/>
      <c r="F90" s="72"/>
    </row>
    <row r="91" spans="1:6" x14ac:dyDescent="0.25">
      <c r="A91" s="72"/>
      <c r="B91" s="206"/>
      <c r="C91" s="207" t="s">
        <v>337</v>
      </c>
      <c r="D91" s="4"/>
      <c r="E91" s="4"/>
      <c r="F91" s="72"/>
    </row>
    <row r="92" spans="1:6" ht="38.25" customHeight="1" x14ac:dyDescent="0.25">
      <c r="A92" s="72"/>
      <c r="B92" s="206"/>
      <c r="C92" s="215" t="s">
        <v>482</v>
      </c>
      <c r="D92" s="215"/>
      <c r="E92" s="4"/>
      <c r="F92" s="72"/>
    </row>
    <row r="93" spans="1:6" ht="130.5" customHeight="1" x14ac:dyDescent="0.25">
      <c r="A93" s="72"/>
      <c r="B93" s="206"/>
      <c r="C93" s="78" t="s">
        <v>483</v>
      </c>
      <c r="D93" s="27" t="s">
        <v>484</v>
      </c>
      <c r="E93" s="4"/>
      <c r="F93" s="72"/>
    </row>
    <row r="94" spans="1:6" ht="33.75" customHeight="1" x14ac:dyDescent="0.25">
      <c r="A94" s="72"/>
      <c r="B94" s="206"/>
      <c r="C94" s="215" t="s">
        <v>485</v>
      </c>
      <c r="D94" s="215"/>
      <c r="E94" s="4"/>
      <c r="F94" s="72"/>
    </row>
    <row r="95" spans="1:6" x14ac:dyDescent="0.25">
      <c r="A95" s="72"/>
      <c r="B95" s="206"/>
      <c r="C95" s="207" t="s">
        <v>428</v>
      </c>
      <c r="D95" s="4"/>
      <c r="E95" s="4"/>
      <c r="F95" s="72"/>
    </row>
    <row r="96" spans="1:6" ht="39.75" customHeight="1" x14ac:dyDescent="0.25">
      <c r="A96" s="72"/>
      <c r="B96" s="206"/>
      <c r="C96" s="215" t="s">
        <v>465</v>
      </c>
      <c r="D96" s="215"/>
      <c r="E96" s="4"/>
      <c r="F96" s="72"/>
    </row>
    <row r="97" spans="1:6" x14ac:dyDescent="0.25">
      <c r="A97" s="72"/>
      <c r="B97" s="350" t="s">
        <v>450</v>
      </c>
      <c r="C97" s="350"/>
      <c r="D97" s="350"/>
      <c r="E97" s="350"/>
      <c r="F97" s="72"/>
    </row>
    <row r="98" spans="1:6" ht="18.75" x14ac:dyDescent="0.3">
      <c r="A98" s="72"/>
      <c r="B98" s="205">
        <v>8</v>
      </c>
      <c r="C98" s="6" t="s">
        <v>92</v>
      </c>
      <c r="D98" s="4"/>
      <c r="E98" s="4"/>
      <c r="F98" s="72"/>
    </row>
    <row r="99" spans="1:6" ht="14.25" customHeight="1" x14ac:dyDescent="0.25">
      <c r="A99" s="72"/>
      <c r="B99" s="206"/>
      <c r="C99" s="207" t="s">
        <v>296</v>
      </c>
      <c r="D99" s="4"/>
      <c r="E99" s="4"/>
      <c r="F99" s="72"/>
    </row>
    <row r="100" spans="1:6" ht="49.5" customHeight="1" x14ac:dyDescent="0.25">
      <c r="A100" s="72"/>
      <c r="B100" s="206"/>
      <c r="C100" s="78" t="s">
        <v>486</v>
      </c>
      <c r="D100" s="4"/>
      <c r="E100" s="4"/>
      <c r="F100" s="72"/>
    </row>
    <row r="101" spans="1:6" x14ac:dyDescent="0.25">
      <c r="A101" s="72"/>
      <c r="B101" s="206"/>
      <c r="C101" s="207" t="s">
        <v>337</v>
      </c>
      <c r="D101" s="4"/>
      <c r="E101" s="4"/>
      <c r="F101" s="72"/>
    </row>
    <row r="102" spans="1:6" ht="114" customHeight="1" x14ac:dyDescent="0.25">
      <c r="A102" s="72"/>
      <c r="B102" s="206"/>
      <c r="C102" s="215" t="s">
        <v>487</v>
      </c>
      <c r="D102" s="215"/>
      <c r="E102" s="4"/>
      <c r="F102" s="72"/>
    </row>
    <row r="103" spans="1:6" ht="100.5" customHeight="1" x14ac:dyDescent="0.25">
      <c r="A103" s="72"/>
      <c r="B103" s="206"/>
      <c r="C103" s="78" t="s">
        <v>488</v>
      </c>
      <c r="D103" s="27" t="s">
        <v>489</v>
      </c>
      <c r="E103" s="4"/>
      <c r="F103" s="72"/>
    </row>
    <row r="104" spans="1:6" ht="15.75" customHeight="1" x14ac:dyDescent="0.25">
      <c r="A104" s="72"/>
      <c r="B104" s="206"/>
      <c r="C104" s="207" t="s">
        <v>428</v>
      </c>
      <c r="D104" s="4"/>
      <c r="E104" s="4"/>
      <c r="F104" s="72"/>
    </row>
    <row r="105" spans="1:6" ht="38.25" customHeight="1" x14ac:dyDescent="0.25">
      <c r="A105" s="72"/>
      <c r="B105" s="206"/>
      <c r="C105" s="215" t="s">
        <v>465</v>
      </c>
      <c r="D105" s="215"/>
      <c r="E105" s="4"/>
      <c r="F105" s="72"/>
    </row>
    <row r="106" spans="1:6" x14ac:dyDescent="0.25">
      <c r="A106" s="72"/>
      <c r="B106" s="350" t="s">
        <v>450</v>
      </c>
      <c r="C106" s="350"/>
      <c r="D106" s="350"/>
      <c r="E106" s="350"/>
      <c r="F106" s="72"/>
    </row>
    <row r="107" spans="1:6" ht="18.75" x14ac:dyDescent="0.3">
      <c r="A107" s="72"/>
      <c r="B107" s="205">
        <v>9</v>
      </c>
      <c r="C107" s="6" t="s">
        <v>93</v>
      </c>
      <c r="D107" s="4"/>
      <c r="E107" s="4"/>
      <c r="F107" s="72"/>
    </row>
    <row r="108" spans="1:6" ht="14.25" customHeight="1" x14ac:dyDescent="0.25">
      <c r="A108" s="72"/>
      <c r="B108" s="206"/>
      <c r="C108" s="207" t="s">
        <v>296</v>
      </c>
      <c r="D108" s="4"/>
      <c r="E108" s="4"/>
      <c r="F108" s="72"/>
    </row>
    <row r="109" spans="1:6" ht="51.75" customHeight="1" x14ac:dyDescent="0.25">
      <c r="A109" s="72"/>
      <c r="B109" s="206"/>
      <c r="C109" s="215" t="s">
        <v>490</v>
      </c>
      <c r="D109" s="215"/>
      <c r="E109" s="4"/>
      <c r="F109" s="72"/>
    </row>
    <row r="110" spans="1:6" x14ac:dyDescent="0.25">
      <c r="A110" s="72"/>
      <c r="B110" s="206"/>
      <c r="C110" s="207" t="s">
        <v>337</v>
      </c>
      <c r="D110" s="4"/>
      <c r="E110" s="4"/>
      <c r="F110" s="72"/>
    </row>
    <row r="111" spans="1:6" ht="156.75" customHeight="1" x14ac:dyDescent="0.25">
      <c r="A111" s="72"/>
      <c r="B111" s="206"/>
      <c r="C111" s="215" t="s">
        <v>491</v>
      </c>
      <c r="D111" s="215"/>
      <c r="E111" s="4"/>
      <c r="F111" s="72"/>
    </row>
    <row r="112" spans="1:6" ht="112.5" customHeight="1" x14ac:dyDescent="0.25">
      <c r="A112" s="72"/>
      <c r="B112" s="206"/>
      <c r="C112" s="78" t="s">
        <v>492</v>
      </c>
      <c r="D112" s="27" t="s">
        <v>493</v>
      </c>
      <c r="E112" s="4"/>
      <c r="F112" s="72"/>
    </row>
    <row r="113" spans="1:6" ht="36" customHeight="1" x14ac:dyDescent="0.25">
      <c r="A113" s="72"/>
      <c r="B113" s="206"/>
      <c r="C113" s="215" t="s">
        <v>494</v>
      </c>
      <c r="D113" s="215"/>
      <c r="E113" s="4"/>
      <c r="F113" s="72"/>
    </row>
    <row r="114" spans="1:6" x14ac:dyDescent="0.25">
      <c r="A114" s="72"/>
      <c r="B114" s="206"/>
      <c r="C114" s="207" t="s">
        <v>428</v>
      </c>
      <c r="D114" s="4"/>
      <c r="E114" s="4"/>
      <c r="F114" s="72"/>
    </row>
    <row r="115" spans="1:6" ht="52.5" customHeight="1" x14ac:dyDescent="0.25">
      <c r="A115" s="72"/>
      <c r="B115" s="206"/>
      <c r="C115" s="215" t="s">
        <v>495</v>
      </c>
      <c r="D115" s="215"/>
      <c r="E115" s="4"/>
      <c r="F115" s="72"/>
    </row>
    <row r="116" spans="1:6" x14ac:dyDescent="0.25">
      <c r="A116" s="72"/>
      <c r="B116" s="350" t="s">
        <v>450</v>
      </c>
      <c r="C116" s="350"/>
      <c r="D116" s="350"/>
      <c r="E116" s="350"/>
      <c r="F116" s="72"/>
    </row>
    <row r="117" spans="1:6" ht="18.75" x14ac:dyDescent="0.3">
      <c r="A117" s="72"/>
      <c r="B117" s="205">
        <v>10</v>
      </c>
      <c r="C117" s="6" t="s">
        <v>94</v>
      </c>
      <c r="D117" s="4"/>
      <c r="E117" s="4"/>
      <c r="F117" s="72"/>
    </row>
    <row r="118" spans="1:6" ht="14.25" customHeight="1" x14ac:dyDescent="0.25">
      <c r="A118" s="72"/>
      <c r="B118" s="206"/>
      <c r="C118" s="207" t="s">
        <v>296</v>
      </c>
      <c r="D118" s="4"/>
      <c r="E118" s="4"/>
      <c r="F118" s="72"/>
    </row>
    <row r="119" spans="1:6" ht="51.75" customHeight="1" x14ac:dyDescent="0.25">
      <c r="A119" s="72"/>
      <c r="B119" s="206"/>
      <c r="C119" s="215" t="s">
        <v>496</v>
      </c>
      <c r="D119" s="215"/>
      <c r="E119" s="4"/>
      <c r="F119" s="72"/>
    </row>
    <row r="120" spans="1:6" x14ac:dyDescent="0.25">
      <c r="A120" s="72"/>
      <c r="B120" s="206"/>
      <c r="C120" s="207" t="s">
        <v>337</v>
      </c>
      <c r="D120" s="4"/>
      <c r="E120" s="4"/>
      <c r="F120" s="72"/>
    </row>
    <row r="121" spans="1:6" ht="183.75" customHeight="1" x14ac:dyDescent="0.25">
      <c r="A121" s="72"/>
      <c r="B121" s="206"/>
      <c r="C121" s="215" t="s">
        <v>569</v>
      </c>
      <c r="D121" s="215"/>
      <c r="E121" s="4"/>
      <c r="F121" s="72"/>
    </row>
    <row r="122" spans="1:6" ht="171" customHeight="1" x14ac:dyDescent="0.25">
      <c r="A122" s="72"/>
      <c r="B122" s="206"/>
      <c r="C122" s="78" t="s">
        <v>497</v>
      </c>
      <c r="D122" s="78" t="s">
        <v>498</v>
      </c>
      <c r="E122" s="4"/>
      <c r="F122" s="72"/>
    </row>
    <row r="123" spans="1:6" x14ac:dyDescent="0.25">
      <c r="A123" s="72"/>
      <c r="B123" s="206"/>
      <c r="C123" s="207" t="s">
        <v>428</v>
      </c>
      <c r="D123" s="4"/>
      <c r="E123" s="4"/>
      <c r="F123" s="72"/>
    </row>
    <row r="124" spans="1:6" ht="71.25" customHeight="1" x14ac:dyDescent="0.25">
      <c r="A124" s="72"/>
      <c r="B124" s="206"/>
      <c r="C124" s="215" t="s">
        <v>499</v>
      </c>
      <c r="D124" s="215"/>
      <c r="E124" s="4"/>
      <c r="F124" s="72"/>
    </row>
    <row r="125" spans="1:6" x14ac:dyDescent="0.25">
      <c r="A125" s="72"/>
      <c r="B125" s="350" t="s">
        <v>450</v>
      </c>
      <c r="C125" s="350"/>
      <c r="D125" s="350"/>
      <c r="E125" s="350"/>
      <c r="F125" s="72"/>
    </row>
    <row r="126" spans="1:6" x14ac:dyDescent="0.25">
      <c r="A126" s="72"/>
      <c r="B126" s="203" t="s">
        <v>135</v>
      </c>
      <c r="C126" s="204"/>
      <c r="D126" s="72"/>
      <c r="E126" s="72"/>
      <c r="F126" s="72"/>
    </row>
    <row r="127" spans="1:6" ht="18.75" x14ac:dyDescent="0.3">
      <c r="A127" s="72"/>
      <c r="B127" s="205">
        <v>1</v>
      </c>
      <c r="C127" s="6" t="s">
        <v>433</v>
      </c>
      <c r="D127" s="4"/>
      <c r="E127" s="4"/>
      <c r="F127" s="72"/>
    </row>
    <row r="128" spans="1:6" ht="14.25" customHeight="1" x14ac:dyDescent="0.25">
      <c r="A128" s="72"/>
      <c r="B128" s="206"/>
      <c r="C128" s="207" t="s">
        <v>296</v>
      </c>
      <c r="D128" s="4"/>
      <c r="E128" s="4"/>
      <c r="F128" s="72"/>
    </row>
    <row r="129" spans="1:6" ht="84" customHeight="1" x14ac:dyDescent="0.25">
      <c r="A129" s="72"/>
      <c r="B129" s="206"/>
      <c r="C129" s="215" t="s">
        <v>500</v>
      </c>
      <c r="D129" s="215"/>
      <c r="E129" s="4"/>
      <c r="F129" s="72"/>
    </row>
    <row r="130" spans="1:6" x14ac:dyDescent="0.25">
      <c r="A130" s="72"/>
      <c r="B130" s="206"/>
      <c r="C130" s="207" t="s">
        <v>337</v>
      </c>
      <c r="D130" s="4"/>
      <c r="E130" s="4"/>
      <c r="F130" s="72"/>
    </row>
    <row r="131" spans="1:6" ht="160.5" customHeight="1" x14ac:dyDescent="0.25">
      <c r="A131" s="72"/>
      <c r="B131" s="206"/>
      <c r="C131" s="215" t="s">
        <v>501</v>
      </c>
      <c r="D131" s="215"/>
      <c r="E131" s="4"/>
      <c r="F131" s="72"/>
    </row>
    <row r="132" spans="1:6" ht="117" customHeight="1" x14ac:dyDescent="0.25">
      <c r="A132" s="72"/>
      <c r="B132" s="206"/>
      <c r="C132" s="78" t="s">
        <v>502</v>
      </c>
      <c r="D132" s="78" t="s">
        <v>503</v>
      </c>
      <c r="E132" s="4"/>
      <c r="F132" s="72"/>
    </row>
    <row r="133" spans="1:6" x14ac:dyDescent="0.25">
      <c r="A133" s="72"/>
      <c r="B133" s="206"/>
      <c r="C133" s="207" t="s">
        <v>428</v>
      </c>
      <c r="D133" s="4"/>
      <c r="E133" s="4"/>
      <c r="F133" s="72"/>
    </row>
    <row r="134" spans="1:6" ht="55.5" customHeight="1" x14ac:dyDescent="0.25">
      <c r="A134" s="72"/>
      <c r="B134" s="206"/>
      <c r="C134" s="215" t="s">
        <v>504</v>
      </c>
      <c r="D134" s="215"/>
      <c r="E134" s="4"/>
      <c r="F134" s="72"/>
    </row>
    <row r="135" spans="1:6" x14ac:dyDescent="0.25">
      <c r="A135" s="72"/>
      <c r="B135" s="350" t="s">
        <v>450</v>
      </c>
      <c r="C135" s="350"/>
      <c r="D135" s="350"/>
      <c r="E135" s="350"/>
      <c r="F135" s="72"/>
    </row>
    <row r="136" spans="1:6" ht="18.75" x14ac:dyDescent="0.3">
      <c r="A136" s="72"/>
      <c r="B136" s="205">
        <v>2</v>
      </c>
      <c r="C136" s="6" t="s">
        <v>434</v>
      </c>
      <c r="D136" s="4"/>
      <c r="E136" s="4"/>
      <c r="F136" s="72"/>
    </row>
    <row r="137" spans="1:6" x14ac:dyDescent="0.25">
      <c r="A137" s="72"/>
      <c r="B137" s="206"/>
      <c r="C137" s="207" t="s">
        <v>296</v>
      </c>
      <c r="D137" s="4"/>
      <c r="E137" s="4"/>
      <c r="F137" s="72"/>
    </row>
    <row r="138" spans="1:6" ht="81" customHeight="1" x14ac:dyDescent="0.25">
      <c r="A138" s="72"/>
      <c r="B138" s="206"/>
      <c r="C138" s="215" t="s">
        <v>505</v>
      </c>
      <c r="D138" s="215"/>
      <c r="E138" s="4"/>
      <c r="F138" s="72"/>
    </row>
    <row r="139" spans="1:6" x14ac:dyDescent="0.25">
      <c r="A139" s="72"/>
      <c r="B139" s="206"/>
      <c r="C139" s="207" t="s">
        <v>337</v>
      </c>
      <c r="D139" s="4"/>
      <c r="E139" s="4"/>
      <c r="F139" s="72"/>
    </row>
    <row r="140" spans="1:6" ht="54.75" customHeight="1" x14ac:dyDescent="0.25">
      <c r="A140" s="72"/>
      <c r="B140" s="206"/>
      <c r="C140" s="215" t="s">
        <v>506</v>
      </c>
      <c r="D140" s="215"/>
      <c r="E140" s="4"/>
      <c r="F140" s="72"/>
    </row>
    <row r="141" spans="1:6" ht="116.25" customHeight="1" x14ac:dyDescent="0.25">
      <c r="A141" s="72"/>
      <c r="B141" s="206"/>
      <c r="C141" s="78" t="s">
        <v>507</v>
      </c>
      <c r="D141" s="78" t="s">
        <v>508</v>
      </c>
      <c r="E141" s="4"/>
      <c r="F141" s="72"/>
    </row>
    <row r="142" spans="1:6" x14ac:dyDescent="0.25">
      <c r="A142" s="72"/>
      <c r="B142" s="206"/>
      <c r="C142" s="207" t="s">
        <v>428</v>
      </c>
      <c r="D142" s="4"/>
      <c r="E142" s="4"/>
      <c r="F142" s="72"/>
    </row>
    <row r="143" spans="1:6" ht="57.75" customHeight="1" x14ac:dyDescent="0.25">
      <c r="A143" s="72"/>
      <c r="B143" s="206"/>
      <c r="C143" s="215" t="s">
        <v>509</v>
      </c>
      <c r="D143" s="215"/>
      <c r="E143" s="4"/>
      <c r="F143" s="72"/>
    </row>
    <row r="144" spans="1:6" x14ac:dyDescent="0.25">
      <c r="A144" s="72"/>
      <c r="B144" s="350" t="s">
        <v>450</v>
      </c>
      <c r="C144" s="350"/>
      <c r="D144" s="350"/>
      <c r="E144" s="350"/>
      <c r="F144" s="72"/>
    </row>
    <row r="145" spans="1:6" ht="18.75" x14ac:dyDescent="0.3">
      <c r="A145" s="72"/>
      <c r="B145" s="205">
        <v>3</v>
      </c>
      <c r="C145" s="6" t="s">
        <v>102</v>
      </c>
      <c r="D145" s="4"/>
      <c r="E145" s="4"/>
      <c r="F145" s="72"/>
    </row>
    <row r="146" spans="1:6" x14ac:dyDescent="0.25">
      <c r="A146" s="72"/>
      <c r="B146" s="206"/>
      <c r="C146" s="207" t="s">
        <v>296</v>
      </c>
      <c r="D146" s="4"/>
      <c r="E146" s="4"/>
      <c r="F146" s="72"/>
    </row>
    <row r="147" spans="1:6" ht="57" customHeight="1" x14ac:dyDescent="0.25">
      <c r="A147" s="72"/>
      <c r="B147" s="206"/>
      <c r="C147" s="215" t="s">
        <v>510</v>
      </c>
      <c r="D147" s="215"/>
      <c r="E147" s="4"/>
      <c r="F147" s="72"/>
    </row>
    <row r="148" spans="1:6" x14ac:dyDescent="0.25">
      <c r="A148" s="72"/>
      <c r="B148" s="206"/>
      <c r="C148" s="207" t="s">
        <v>337</v>
      </c>
      <c r="D148" s="4"/>
      <c r="E148" s="4"/>
      <c r="F148" s="72"/>
    </row>
    <row r="149" spans="1:6" ht="84.75" customHeight="1" x14ac:dyDescent="0.25">
      <c r="A149" s="72"/>
      <c r="B149" s="206"/>
      <c r="C149" s="215" t="s">
        <v>511</v>
      </c>
      <c r="D149" s="215"/>
      <c r="E149" s="4"/>
      <c r="F149" s="72"/>
    </row>
    <row r="150" spans="1:6" ht="114" customHeight="1" x14ac:dyDescent="0.25">
      <c r="A150" s="72"/>
      <c r="B150" s="206"/>
      <c r="C150" s="78" t="s">
        <v>512</v>
      </c>
      <c r="D150" s="78" t="s">
        <v>513</v>
      </c>
      <c r="E150" s="4"/>
      <c r="F150" s="72"/>
    </row>
    <row r="151" spans="1:6" x14ac:dyDescent="0.25">
      <c r="A151" s="72"/>
      <c r="B151" s="206"/>
      <c r="C151" s="207" t="s">
        <v>428</v>
      </c>
      <c r="D151" s="4"/>
      <c r="E151" s="4"/>
      <c r="F151" s="72"/>
    </row>
    <row r="152" spans="1:6" ht="42" customHeight="1" x14ac:dyDescent="0.25">
      <c r="A152" s="72"/>
      <c r="B152" s="206"/>
      <c r="C152" s="215" t="s">
        <v>514</v>
      </c>
      <c r="D152" s="215"/>
      <c r="E152" s="4"/>
      <c r="F152" s="72"/>
    </row>
    <row r="153" spans="1:6" x14ac:dyDescent="0.25">
      <c r="A153" s="72"/>
      <c r="B153" s="350" t="s">
        <v>450</v>
      </c>
      <c r="C153" s="350"/>
      <c r="D153" s="350"/>
      <c r="E153" s="350"/>
      <c r="F153" s="72"/>
    </row>
    <row r="154" spans="1:6" ht="18.75" x14ac:dyDescent="0.3">
      <c r="A154" s="72"/>
      <c r="B154" s="205">
        <v>4</v>
      </c>
      <c r="C154" s="6" t="s">
        <v>435</v>
      </c>
      <c r="D154" s="4"/>
      <c r="E154" s="4"/>
      <c r="F154" s="72"/>
    </row>
    <row r="155" spans="1:6" x14ac:dyDescent="0.25">
      <c r="A155" s="72"/>
      <c r="B155" s="206"/>
      <c r="C155" s="207" t="s">
        <v>296</v>
      </c>
      <c r="D155" s="4"/>
      <c r="E155" s="4"/>
      <c r="F155" s="72"/>
    </row>
    <row r="156" spans="1:6" ht="68.25" customHeight="1" x14ac:dyDescent="0.25">
      <c r="A156" s="72"/>
      <c r="B156" s="206"/>
      <c r="C156" s="215" t="s">
        <v>515</v>
      </c>
      <c r="D156" s="215"/>
      <c r="E156" s="4"/>
      <c r="F156" s="72"/>
    </row>
    <row r="157" spans="1:6" x14ac:dyDescent="0.25">
      <c r="A157" s="72"/>
      <c r="B157" s="206"/>
      <c r="C157" s="207" t="s">
        <v>337</v>
      </c>
      <c r="D157" s="4"/>
      <c r="E157" s="4"/>
      <c r="F157" s="72"/>
    </row>
    <row r="158" spans="1:6" ht="68.25" customHeight="1" x14ac:dyDescent="0.25">
      <c r="A158" s="72"/>
      <c r="B158" s="206"/>
      <c r="C158" s="215" t="s">
        <v>516</v>
      </c>
      <c r="D158" s="215"/>
      <c r="E158" s="4"/>
      <c r="F158" s="72"/>
    </row>
    <row r="159" spans="1:6" ht="120" x14ac:dyDescent="0.25">
      <c r="A159" s="72"/>
      <c r="B159" s="206"/>
      <c r="C159" s="78" t="s">
        <v>517</v>
      </c>
      <c r="D159" s="78" t="s">
        <v>518</v>
      </c>
      <c r="E159" s="4"/>
      <c r="F159" s="72"/>
    </row>
    <row r="160" spans="1:6" x14ac:dyDescent="0.25">
      <c r="A160" s="72"/>
      <c r="B160" s="206"/>
      <c r="C160" s="207" t="s">
        <v>428</v>
      </c>
      <c r="D160" s="4"/>
      <c r="E160" s="4"/>
      <c r="F160" s="72"/>
    </row>
    <row r="161" spans="1:6" ht="54" customHeight="1" x14ac:dyDescent="0.25">
      <c r="A161" s="72"/>
      <c r="B161" s="206"/>
      <c r="C161" s="215" t="s">
        <v>519</v>
      </c>
      <c r="D161" s="215"/>
      <c r="E161" s="4"/>
      <c r="F161" s="72"/>
    </row>
    <row r="162" spans="1:6" x14ac:dyDescent="0.25">
      <c r="A162" s="72"/>
      <c r="B162" s="350" t="s">
        <v>450</v>
      </c>
      <c r="C162" s="350"/>
      <c r="D162" s="350"/>
      <c r="E162" s="350"/>
      <c r="F162" s="72"/>
    </row>
    <row r="163" spans="1:6" ht="18.75" x14ac:dyDescent="0.3">
      <c r="A163" s="72"/>
      <c r="B163" s="205">
        <v>5</v>
      </c>
      <c r="C163" s="6" t="s">
        <v>104</v>
      </c>
      <c r="D163" s="4"/>
      <c r="E163" s="4"/>
      <c r="F163" s="72"/>
    </row>
    <row r="164" spans="1:6" x14ac:dyDescent="0.25">
      <c r="A164" s="72"/>
      <c r="B164" s="206"/>
      <c r="C164" s="207" t="s">
        <v>296</v>
      </c>
      <c r="D164" s="4"/>
      <c r="E164" s="4"/>
      <c r="F164" s="72"/>
    </row>
    <row r="165" spans="1:6" ht="57" customHeight="1" x14ac:dyDescent="0.25">
      <c r="A165" s="72"/>
      <c r="B165" s="206"/>
      <c r="C165" s="215" t="s">
        <v>520</v>
      </c>
      <c r="D165" s="215"/>
      <c r="E165" s="4"/>
      <c r="F165" s="72"/>
    </row>
    <row r="166" spans="1:6" x14ac:dyDescent="0.25">
      <c r="A166" s="72"/>
      <c r="B166" s="206"/>
      <c r="C166" s="207" t="s">
        <v>337</v>
      </c>
      <c r="D166" s="4"/>
      <c r="E166" s="4"/>
      <c r="F166" s="72"/>
    </row>
    <row r="167" spans="1:6" ht="54.75" customHeight="1" x14ac:dyDescent="0.25">
      <c r="A167" s="72"/>
      <c r="B167" s="206"/>
      <c r="C167" s="215" t="s">
        <v>521</v>
      </c>
      <c r="D167" s="215"/>
      <c r="E167" s="4"/>
      <c r="F167" s="72"/>
    </row>
    <row r="168" spans="1:6" ht="105" x14ac:dyDescent="0.25">
      <c r="A168" s="72"/>
      <c r="B168" s="206"/>
      <c r="C168" s="78" t="s">
        <v>522</v>
      </c>
      <c r="D168" s="78" t="s">
        <v>523</v>
      </c>
      <c r="E168" s="4"/>
      <c r="F168" s="72"/>
    </row>
    <row r="169" spans="1:6" x14ac:dyDescent="0.25">
      <c r="A169" s="72"/>
      <c r="B169" s="206"/>
      <c r="C169" s="207" t="s">
        <v>428</v>
      </c>
      <c r="D169" s="4"/>
      <c r="E169" s="4"/>
      <c r="F169" s="72"/>
    </row>
    <row r="170" spans="1:6" ht="53.25" customHeight="1" x14ac:dyDescent="0.25">
      <c r="A170" s="72"/>
      <c r="B170" s="206"/>
      <c r="C170" s="78" t="s">
        <v>514</v>
      </c>
      <c r="D170" s="4"/>
      <c r="E170" s="4"/>
      <c r="F170" s="72"/>
    </row>
    <row r="171" spans="1:6" x14ac:dyDescent="0.25">
      <c r="A171" s="72"/>
      <c r="B171" s="350" t="s">
        <v>450</v>
      </c>
      <c r="C171" s="350"/>
      <c r="D171" s="350"/>
      <c r="E171" s="350"/>
      <c r="F171" s="72"/>
    </row>
    <row r="172" spans="1:6" ht="18.75" x14ac:dyDescent="0.3">
      <c r="A172" s="72"/>
      <c r="B172" s="205">
        <v>6</v>
      </c>
      <c r="C172" s="6" t="s">
        <v>106</v>
      </c>
      <c r="D172" s="4"/>
      <c r="E172" s="4"/>
      <c r="F172" s="72"/>
    </row>
    <row r="173" spans="1:6" x14ac:dyDescent="0.25">
      <c r="A173" s="72"/>
      <c r="B173" s="206"/>
      <c r="C173" s="207" t="s">
        <v>296</v>
      </c>
      <c r="D173" s="4"/>
      <c r="E173" s="4"/>
      <c r="F173" s="72"/>
    </row>
    <row r="174" spans="1:6" ht="64.5" customHeight="1" x14ac:dyDescent="0.25">
      <c r="A174" s="72"/>
      <c r="B174" s="206"/>
      <c r="C174" s="215" t="s">
        <v>524</v>
      </c>
      <c r="D174" s="215"/>
      <c r="E174" s="4"/>
      <c r="F174" s="72"/>
    </row>
    <row r="175" spans="1:6" x14ac:dyDescent="0.25">
      <c r="A175" s="72"/>
      <c r="B175" s="206"/>
      <c r="C175" s="207" t="s">
        <v>337</v>
      </c>
      <c r="D175" s="4"/>
      <c r="E175" s="4"/>
      <c r="F175" s="72"/>
    </row>
    <row r="176" spans="1:6" ht="49.5" customHeight="1" x14ac:dyDescent="0.25">
      <c r="A176" s="72"/>
      <c r="B176" s="206"/>
      <c r="C176" s="215" t="s">
        <v>525</v>
      </c>
      <c r="D176" s="215"/>
      <c r="E176" s="4"/>
      <c r="F176" s="72"/>
    </row>
    <row r="177" spans="1:6" ht="112.5" customHeight="1" x14ac:dyDescent="0.25">
      <c r="A177" s="72"/>
      <c r="B177" s="206"/>
      <c r="C177" s="78" t="s">
        <v>526</v>
      </c>
      <c r="D177" s="78" t="s">
        <v>527</v>
      </c>
      <c r="E177" s="4"/>
      <c r="F177" s="72"/>
    </row>
    <row r="178" spans="1:6" x14ac:dyDescent="0.25">
      <c r="A178" s="72"/>
      <c r="B178" s="206"/>
      <c r="C178" s="207" t="s">
        <v>428</v>
      </c>
      <c r="D178" s="4"/>
      <c r="E178" s="4"/>
      <c r="F178" s="72"/>
    </row>
    <row r="179" spans="1:6" ht="45" x14ac:dyDescent="0.25">
      <c r="A179" s="72"/>
      <c r="B179" s="206"/>
      <c r="C179" s="78" t="s">
        <v>528</v>
      </c>
      <c r="D179" s="4"/>
      <c r="E179" s="4"/>
      <c r="F179" s="72"/>
    </row>
    <row r="180" spans="1:6" x14ac:dyDescent="0.25">
      <c r="A180" s="72"/>
      <c r="B180" s="350" t="s">
        <v>450</v>
      </c>
      <c r="C180" s="350"/>
      <c r="D180" s="350"/>
      <c r="E180" s="350"/>
      <c r="F180" s="72"/>
    </row>
    <row r="181" spans="1:6" ht="18.75" x14ac:dyDescent="0.3">
      <c r="A181" s="72"/>
      <c r="B181" s="205">
        <v>7</v>
      </c>
      <c r="C181" s="6" t="s">
        <v>107</v>
      </c>
      <c r="D181" s="4"/>
      <c r="E181" s="4"/>
      <c r="F181" s="72"/>
    </row>
    <row r="182" spans="1:6" x14ac:dyDescent="0.25">
      <c r="A182" s="72"/>
      <c r="B182" s="206"/>
      <c r="C182" s="207" t="s">
        <v>296</v>
      </c>
      <c r="D182" s="4"/>
      <c r="E182" s="4"/>
      <c r="F182" s="72"/>
    </row>
    <row r="183" spans="1:6" ht="66" customHeight="1" x14ac:dyDescent="0.25">
      <c r="A183" s="72"/>
      <c r="B183" s="206"/>
      <c r="C183" s="215" t="s">
        <v>529</v>
      </c>
      <c r="D183" s="215"/>
      <c r="E183" s="4"/>
      <c r="F183" s="72"/>
    </row>
    <row r="184" spans="1:6" x14ac:dyDescent="0.25">
      <c r="A184" s="72"/>
      <c r="B184" s="206"/>
      <c r="C184" s="207" t="s">
        <v>337</v>
      </c>
      <c r="D184" s="4"/>
      <c r="E184" s="4"/>
      <c r="F184" s="72"/>
    </row>
    <row r="185" spans="1:6" ht="68.25" customHeight="1" x14ac:dyDescent="0.25">
      <c r="A185" s="72"/>
      <c r="B185" s="206"/>
      <c r="C185" s="215" t="s">
        <v>530</v>
      </c>
      <c r="D185" s="215"/>
      <c r="E185" s="4"/>
      <c r="F185" s="72"/>
    </row>
    <row r="186" spans="1:6" ht="150" x14ac:dyDescent="0.25">
      <c r="A186" s="72"/>
      <c r="B186" s="206"/>
      <c r="C186" s="78" t="s">
        <v>531</v>
      </c>
      <c r="D186" s="78" t="s">
        <v>532</v>
      </c>
      <c r="E186" s="4"/>
      <c r="F186" s="72"/>
    </row>
    <row r="187" spans="1:6" x14ac:dyDescent="0.25">
      <c r="A187" s="72"/>
      <c r="B187" s="206"/>
      <c r="C187" s="207" t="s">
        <v>428</v>
      </c>
      <c r="D187" s="4"/>
      <c r="E187" s="4"/>
      <c r="F187" s="72"/>
    </row>
    <row r="188" spans="1:6" ht="39.75" customHeight="1" x14ac:dyDescent="0.25">
      <c r="A188" s="72"/>
      <c r="B188" s="206"/>
      <c r="C188" s="215" t="s">
        <v>514</v>
      </c>
      <c r="D188" s="215"/>
      <c r="E188" s="4"/>
      <c r="F188" s="72"/>
    </row>
    <row r="189" spans="1:6" x14ac:dyDescent="0.25">
      <c r="A189" s="72"/>
      <c r="B189" s="350" t="s">
        <v>450</v>
      </c>
      <c r="C189" s="350"/>
      <c r="D189" s="350"/>
      <c r="E189" s="350"/>
      <c r="F189" s="72"/>
    </row>
    <row r="190" spans="1:6" ht="18.75" x14ac:dyDescent="0.3">
      <c r="A190" s="72"/>
      <c r="B190" s="205">
        <v>8</v>
      </c>
      <c r="C190" s="6" t="s">
        <v>127</v>
      </c>
      <c r="D190" s="4"/>
      <c r="E190" s="4"/>
      <c r="F190" s="72"/>
    </row>
    <row r="191" spans="1:6" x14ac:dyDescent="0.25">
      <c r="A191" s="72"/>
      <c r="B191" s="206"/>
      <c r="C191" s="207" t="s">
        <v>296</v>
      </c>
      <c r="D191" s="4"/>
      <c r="E191" s="4"/>
      <c r="F191" s="72"/>
    </row>
    <row r="192" spans="1:6" ht="69" customHeight="1" x14ac:dyDescent="0.25">
      <c r="A192" s="72"/>
      <c r="B192" s="206"/>
      <c r="C192" s="215" t="s">
        <v>533</v>
      </c>
      <c r="D192" s="215"/>
      <c r="E192" s="4"/>
      <c r="F192" s="72"/>
    </row>
    <row r="193" spans="1:6" x14ac:dyDescent="0.25">
      <c r="A193" s="72"/>
      <c r="B193" s="206"/>
      <c r="C193" s="207" t="s">
        <v>337</v>
      </c>
      <c r="D193" s="4"/>
      <c r="E193" s="4"/>
      <c r="F193" s="72"/>
    </row>
    <row r="194" spans="1:6" ht="54" customHeight="1" x14ac:dyDescent="0.25">
      <c r="A194" s="72"/>
      <c r="B194" s="206"/>
      <c r="C194" s="215" t="s">
        <v>534</v>
      </c>
      <c r="D194" s="215"/>
      <c r="E194" s="4"/>
      <c r="F194" s="72"/>
    </row>
    <row r="195" spans="1:6" ht="135" x14ac:dyDescent="0.25">
      <c r="A195" s="72"/>
      <c r="B195" s="206"/>
      <c r="C195" s="78" t="s">
        <v>535</v>
      </c>
      <c r="D195" s="78" t="s">
        <v>536</v>
      </c>
      <c r="E195" s="4"/>
      <c r="F195" s="72"/>
    </row>
    <row r="196" spans="1:6" x14ac:dyDescent="0.25">
      <c r="A196" s="72"/>
      <c r="B196" s="206"/>
      <c r="C196" s="207" t="s">
        <v>428</v>
      </c>
      <c r="D196" s="4"/>
      <c r="E196" s="4"/>
      <c r="F196" s="72"/>
    </row>
    <row r="197" spans="1:6" ht="36.75" customHeight="1" x14ac:dyDescent="0.25">
      <c r="A197" s="72"/>
      <c r="B197" s="206"/>
      <c r="C197" s="215" t="s">
        <v>514</v>
      </c>
      <c r="D197" s="215"/>
      <c r="E197" s="4"/>
      <c r="F197" s="72"/>
    </row>
    <row r="198" spans="1:6" x14ac:dyDescent="0.25">
      <c r="A198" s="72"/>
      <c r="B198" s="350" t="s">
        <v>450</v>
      </c>
      <c r="C198" s="350"/>
      <c r="D198" s="350"/>
      <c r="E198" s="350"/>
      <c r="F198" s="72"/>
    </row>
    <row r="199" spans="1:6" ht="18.75" x14ac:dyDescent="0.3">
      <c r="A199" s="72"/>
      <c r="B199" s="205">
        <v>9</v>
      </c>
      <c r="C199" s="6" t="s">
        <v>436</v>
      </c>
      <c r="D199" s="4"/>
      <c r="E199" s="4"/>
      <c r="F199" s="72"/>
    </row>
    <row r="200" spans="1:6" x14ac:dyDescent="0.25">
      <c r="A200" s="72"/>
      <c r="B200" s="206"/>
      <c r="C200" s="207" t="s">
        <v>296</v>
      </c>
      <c r="D200" s="4"/>
      <c r="E200" s="4"/>
      <c r="F200" s="72"/>
    </row>
    <row r="201" spans="1:6" ht="86.25" customHeight="1" x14ac:dyDescent="0.25">
      <c r="A201" s="72"/>
      <c r="B201" s="206"/>
      <c r="C201" s="215" t="s">
        <v>537</v>
      </c>
      <c r="D201" s="215"/>
      <c r="E201" s="4"/>
      <c r="F201" s="72"/>
    </row>
    <row r="202" spans="1:6" x14ac:dyDescent="0.25">
      <c r="A202" s="72"/>
      <c r="B202" s="206"/>
      <c r="C202" s="207" t="s">
        <v>337</v>
      </c>
      <c r="D202" s="4"/>
      <c r="E202" s="4"/>
      <c r="F202" s="72"/>
    </row>
    <row r="203" spans="1:6" ht="64.5" customHeight="1" x14ac:dyDescent="0.25">
      <c r="A203" s="72"/>
      <c r="B203" s="206"/>
      <c r="C203" s="215" t="s">
        <v>538</v>
      </c>
      <c r="D203" s="215"/>
      <c r="E203" s="4"/>
      <c r="F203" s="72"/>
    </row>
    <row r="204" spans="1:6" ht="135" x14ac:dyDescent="0.25">
      <c r="A204" s="72"/>
      <c r="B204" s="206"/>
      <c r="C204" s="78" t="s">
        <v>539</v>
      </c>
      <c r="D204" s="78" t="s">
        <v>540</v>
      </c>
      <c r="E204" s="4"/>
      <c r="F204" s="72"/>
    </row>
    <row r="205" spans="1:6" x14ac:dyDescent="0.25">
      <c r="A205" s="72"/>
      <c r="B205" s="206"/>
      <c r="C205" s="207" t="s">
        <v>428</v>
      </c>
      <c r="D205" s="4"/>
      <c r="E205" s="4"/>
      <c r="F205" s="72"/>
    </row>
    <row r="206" spans="1:6" ht="30" customHeight="1" x14ac:dyDescent="0.25">
      <c r="A206" s="72"/>
      <c r="B206" s="206"/>
      <c r="C206" s="215" t="s">
        <v>541</v>
      </c>
      <c r="D206" s="215"/>
      <c r="E206" s="4"/>
      <c r="F206" s="72"/>
    </row>
    <row r="207" spans="1:6" x14ac:dyDescent="0.25">
      <c r="A207" s="72"/>
      <c r="B207" s="350" t="s">
        <v>450</v>
      </c>
      <c r="C207" s="350"/>
      <c r="D207" s="350"/>
      <c r="E207" s="350"/>
      <c r="F207" s="72"/>
    </row>
    <row r="208" spans="1:6" ht="18.75" x14ac:dyDescent="0.3">
      <c r="A208" s="72"/>
      <c r="B208" s="205">
        <v>10</v>
      </c>
      <c r="C208" s="6" t="s">
        <v>111</v>
      </c>
      <c r="D208" s="4"/>
      <c r="E208" s="4"/>
      <c r="F208" s="72"/>
    </row>
    <row r="209" spans="1:6" x14ac:dyDescent="0.25">
      <c r="A209" s="72"/>
      <c r="B209" s="206"/>
      <c r="C209" s="207" t="s">
        <v>296</v>
      </c>
      <c r="D209" s="4"/>
      <c r="E209" s="4"/>
      <c r="F209" s="72"/>
    </row>
    <row r="210" spans="1:6" ht="99.75" customHeight="1" x14ac:dyDescent="0.25">
      <c r="A210" s="72"/>
      <c r="B210" s="206"/>
      <c r="C210" s="215" t="s">
        <v>542</v>
      </c>
      <c r="D210" s="215"/>
      <c r="E210" s="4"/>
      <c r="F210" s="72"/>
    </row>
    <row r="211" spans="1:6" x14ac:dyDescent="0.25">
      <c r="A211" s="72"/>
      <c r="B211" s="206"/>
      <c r="C211" s="207" t="s">
        <v>337</v>
      </c>
      <c r="D211" s="4"/>
      <c r="E211" s="4"/>
      <c r="F211" s="72"/>
    </row>
    <row r="212" spans="1:6" ht="129.75" customHeight="1" x14ac:dyDescent="0.25">
      <c r="A212" s="72"/>
      <c r="B212" s="206"/>
      <c r="C212" s="215" t="s">
        <v>543</v>
      </c>
      <c r="D212" s="215"/>
      <c r="E212" s="4"/>
      <c r="F212" s="72"/>
    </row>
    <row r="213" spans="1:6" ht="105" x14ac:dyDescent="0.25">
      <c r="A213" s="72"/>
      <c r="B213" s="206"/>
      <c r="C213" s="78" t="s">
        <v>544</v>
      </c>
      <c r="D213" s="78" t="s">
        <v>545</v>
      </c>
      <c r="E213" s="4"/>
      <c r="F213" s="72"/>
    </row>
    <row r="214" spans="1:6" x14ac:dyDescent="0.25">
      <c r="A214" s="72"/>
      <c r="B214" s="206"/>
      <c r="C214" s="207" t="s">
        <v>428</v>
      </c>
      <c r="D214" s="4"/>
      <c r="E214" s="4"/>
      <c r="F214" s="72"/>
    </row>
    <row r="215" spans="1:6" ht="38.25" customHeight="1" x14ac:dyDescent="0.25">
      <c r="A215" s="72"/>
      <c r="B215" s="206"/>
      <c r="C215" s="215" t="s">
        <v>546</v>
      </c>
      <c r="D215" s="215"/>
      <c r="E215" s="4"/>
      <c r="F215" s="72"/>
    </row>
    <row r="216" spans="1:6" x14ac:dyDescent="0.25">
      <c r="A216" s="72"/>
      <c r="B216" s="350" t="s">
        <v>450</v>
      </c>
      <c r="C216" s="350"/>
      <c r="D216" s="350"/>
      <c r="E216" s="350"/>
      <c r="F216" s="72"/>
    </row>
    <row r="217" spans="1:6" ht="18.75" x14ac:dyDescent="0.3">
      <c r="A217" s="72"/>
      <c r="B217" s="205">
        <v>11</v>
      </c>
      <c r="C217" s="6" t="s">
        <v>128</v>
      </c>
      <c r="D217" s="4"/>
      <c r="E217" s="4"/>
      <c r="F217" s="72"/>
    </row>
    <row r="218" spans="1:6" x14ac:dyDescent="0.25">
      <c r="A218" s="72"/>
      <c r="B218" s="206"/>
      <c r="C218" s="207" t="s">
        <v>296</v>
      </c>
      <c r="D218" s="4"/>
      <c r="E218" s="4"/>
      <c r="F218" s="72"/>
    </row>
    <row r="219" spans="1:6" ht="69.75" customHeight="1" x14ac:dyDescent="0.25">
      <c r="A219" s="72"/>
      <c r="B219" s="206"/>
      <c r="C219" s="215" t="s">
        <v>547</v>
      </c>
      <c r="D219" s="215"/>
      <c r="E219" s="4"/>
      <c r="F219" s="72"/>
    </row>
    <row r="220" spans="1:6" x14ac:dyDescent="0.25">
      <c r="A220" s="72"/>
      <c r="B220" s="206"/>
      <c r="C220" s="207" t="s">
        <v>337</v>
      </c>
      <c r="D220" s="4"/>
      <c r="E220" s="4"/>
      <c r="F220" s="72"/>
    </row>
    <row r="221" spans="1:6" ht="65.25" customHeight="1" x14ac:dyDescent="0.25">
      <c r="A221" s="72"/>
      <c r="B221" s="206"/>
      <c r="C221" s="215" t="s">
        <v>548</v>
      </c>
      <c r="D221" s="215"/>
      <c r="E221" s="4"/>
      <c r="F221" s="72"/>
    </row>
    <row r="222" spans="1:6" ht="150" x14ac:dyDescent="0.25">
      <c r="A222" s="72"/>
      <c r="B222" s="206"/>
      <c r="C222" s="78" t="s">
        <v>549</v>
      </c>
      <c r="D222" s="27" t="s">
        <v>550</v>
      </c>
      <c r="E222" s="4"/>
      <c r="F222" s="72"/>
    </row>
    <row r="223" spans="1:6" x14ac:dyDescent="0.25">
      <c r="A223" s="72"/>
      <c r="B223" s="206"/>
      <c r="C223" s="207" t="s">
        <v>428</v>
      </c>
      <c r="D223" s="4"/>
      <c r="E223" s="4"/>
      <c r="F223" s="72"/>
    </row>
    <row r="224" spans="1:6" ht="40.5" customHeight="1" x14ac:dyDescent="0.25">
      <c r="A224" s="72"/>
      <c r="B224" s="206"/>
      <c r="C224" s="215" t="s">
        <v>514</v>
      </c>
      <c r="D224" s="215"/>
      <c r="E224" s="4"/>
      <c r="F224" s="72"/>
    </row>
    <row r="225" spans="1:6" x14ac:dyDescent="0.25">
      <c r="A225" s="72"/>
      <c r="B225" s="350" t="s">
        <v>450</v>
      </c>
      <c r="C225" s="350"/>
      <c r="D225" s="350"/>
      <c r="E225" s="350"/>
      <c r="F225" s="72"/>
    </row>
    <row r="226" spans="1:6" x14ac:dyDescent="0.25">
      <c r="A226" s="4"/>
      <c r="B226" s="206"/>
      <c r="C226" s="207"/>
      <c r="D226" s="4"/>
      <c r="E226" s="4"/>
      <c r="F226" s="4"/>
    </row>
    <row r="227" spans="1:6" x14ac:dyDescent="0.25">
      <c r="A227" s="4"/>
      <c r="B227" s="206"/>
      <c r="C227" s="207"/>
      <c r="D227" s="4"/>
      <c r="E227" s="4"/>
      <c r="F227" s="4"/>
    </row>
    <row r="228" spans="1:6" x14ac:dyDescent="0.25">
      <c r="A228" s="4"/>
      <c r="B228" s="206"/>
      <c r="C228" s="207"/>
      <c r="D228" s="4"/>
      <c r="E228" s="4"/>
      <c r="F228" s="4"/>
    </row>
    <row r="229" spans="1:6" x14ac:dyDescent="0.25">
      <c r="A229" s="4"/>
      <c r="B229" s="206"/>
      <c r="C229" s="207"/>
      <c r="D229" s="4"/>
      <c r="E229" s="4"/>
      <c r="F229" s="4"/>
    </row>
    <row r="230" spans="1:6" x14ac:dyDescent="0.25">
      <c r="A230" s="4"/>
      <c r="B230" s="206"/>
      <c r="C230" s="207"/>
      <c r="D230" s="4"/>
      <c r="E230" s="4"/>
      <c r="F230" s="4"/>
    </row>
    <row r="231" spans="1:6" x14ac:dyDescent="0.25">
      <c r="A231" s="4"/>
      <c r="B231" s="206"/>
      <c r="C231" s="207"/>
      <c r="D231" s="4"/>
      <c r="E231" s="4"/>
      <c r="F231" s="4"/>
    </row>
    <row r="232" spans="1:6" x14ac:dyDescent="0.25">
      <c r="A232" s="4"/>
      <c r="B232" s="206"/>
      <c r="C232" s="207"/>
      <c r="D232" s="4"/>
      <c r="E232" s="4"/>
      <c r="F232" s="4"/>
    </row>
    <row r="233" spans="1:6" x14ac:dyDescent="0.25">
      <c r="A233" s="4"/>
      <c r="B233" s="206"/>
      <c r="C233" s="207"/>
      <c r="D233" s="4"/>
      <c r="E233" s="4"/>
      <c r="F233" s="4"/>
    </row>
    <row r="234" spans="1:6" x14ac:dyDescent="0.25">
      <c r="A234" s="4"/>
      <c r="B234" s="206"/>
      <c r="C234" s="207"/>
      <c r="D234" s="4"/>
      <c r="E234" s="4"/>
      <c r="F234" s="4"/>
    </row>
    <row r="235" spans="1:6" x14ac:dyDescent="0.25">
      <c r="A235" s="4"/>
      <c r="B235" s="206"/>
      <c r="C235" s="207"/>
      <c r="D235" s="4"/>
      <c r="E235" s="4"/>
      <c r="F235" s="4"/>
    </row>
    <row r="236" spans="1:6" x14ac:dyDescent="0.25">
      <c r="A236" s="4"/>
      <c r="B236" s="206"/>
      <c r="C236" s="207"/>
      <c r="D236" s="4"/>
      <c r="E236" s="4"/>
      <c r="F236" s="4"/>
    </row>
    <row r="237" spans="1:6" x14ac:dyDescent="0.25">
      <c r="A237" s="4"/>
      <c r="B237" s="206"/>
      <c r="C237" s="207"/>
      <c r="D237" s="4"/>
      <c r="E237" s="4"/>
      <c r="F237" s="4"/>
    </row>
    <row r="238" spans="1:6" x14ac:dyDescent="0.25">
      <c r="A238" s="4"/>
      <c r="B238" s="206"/>
      <c r="C238" s="207"/>
      <c r="D238" s="4"/>
      <c r="E238" s="4"/>
      <c r="F238" s="4"/>
    </row>
    <row r="239" spans="1:6" x14ac:dyDescent="0.25">
      <c r="A239" s="4"/>
      <c r="B239" s="206"/>
      <c r="C239" s="207"/>
      <c r="D239" s="4"/>
      <c r="E239" s="4"/>
      <c r="F239" s="4"/>
    </row>
    <row r="240" spans="1:6" x14ac:dyDescent="0.25">
      <c r="A240" s="4"/>
      <c r="B240" s="206"/>
      <c r="C240" s="207"/>
      <c r="D240" s="4"/>
      <c r="E240" s="4"/>
      <c r="F240" s="4"/>
    </row>
    <row r="241" spans="1:6" x14ac:dyDescent="0.25">
      <c r="A241" s="4"/>
      <c r="B241" s="206"/>
      <c r="C241" s="207"/>
      <c r="D241" s="4"/>
      <c r="E241" s="4"/>
      <c r="F241" s="4"/>
    </row>
    <row r="242" spans="1:6" x14ac:dyDescent="0.25">
      <c r="A242" s="4"/>
      <c r="B242" s="206"/>
      <c r="C242" s="207"/>
      <c r="D242" s="4"/>
      <c r="E242" s="4"/>
      <c r="F242" s="4"/>
    </row>
    <row r="243" spans="1:6" x14ac:dyDescent="0.25">
      <c r="A243" s="4"/>
      <c r="B243" s="206"/>
      <c r="C243" s="207"/>
      <c r="D243" s="4"/>
      <c r="E243" s="4"/>
      <c r="F243" s="4"/>
    </row>
    <row r="244" spans="1:6" x14ac:dyDescent="0.25">
      <c r="A244" s="4"/>
      <c r="B244" s="206"/>
      <c r="C244" s="207"/>
      <c r="D244" s="4"/>
      <c r="E244" s="4"/>
      <c r="F244" s="4"/>
    </row>
    <row r="245" spans="1:6" x14ac:dyDescent="0.25">
      <c r="A245" s="4"/>
      <c r="B245" s="206"/>
      <c r="C245" s="207"/>
      <c r="D245" s="4"/>
      <c r="E245" s="4"/>
      <c r="F245" s="4"/>
    </row>
    <row r="246" spans="1:6" x14ac:dyDescent="0.25">
      <c r="A246" s="4"/>
      <c r="B246" s="206"/>
      <c r="C246" s="207"/>
      <c r="D246" s="4"/>
      <c r="E246" s="4"/>
      <c r="F246" s="4"/>
    </row>
    <row r="247" spans="1:6" x14ac:dyDescent="0.25">
      <c r="A247" s="4"/>
      <c r="B247" s="206"/>
      <c r="C247" s="207"/>
      <c r="D247" s="4"/>
      <c r="E247" s="4"/>
      <c r="F247" s="4"/>
    </row>
    <row r="248" spans="1:6" x14ac:dyDescent="0.25">
      <c r="A248" s="4"/>
      <c r="B248" s="206"/>
      <c r="C248" s="207"/>
      <c r="D248" s="4"/>
      <c r="E248" s="4"/>
      <c r="F248" s="4"/>
    </row>
    <row r="249" spans="1:6" x14ac:dyDescent="0.25">
      <c r="A249" s="4"/>
      <c r="B249" s="206"/>
      <c r="C249" s="207"/>
      <c r="D249" s="4"/>
      <c r="E249" s="4"/>
      <c r="F249" s="4"/>
    </row>
    <row r="250" spans="1:6" x14ac:dyDescent="0.25">
      <c r="A250" s="4"/>
      <c r="B250" s="206"/>
      <c r="C250" s="207"/>
      <c r="D250" s="4"/>
      <c r="E250" s="4"/>
      <c r="F250" s="4"/>
    </row>
    <row r="251" spans="1:6" x14ac:dyDescent="0.25">
      <c r="A251" s="4"/>
      <c r="B251" s="206"/>
      <c r="C251" s="207"/>
      <c r="D251" s="4"/>
      <c r="E251" s="4"/>
      <c r="F251" s="4"/>
    </row>
    <row r="252" spans="1:6" x14ac:dyDescent="0.25">
      <c r="A252" s="4"/>
      <c r="B252" s="206"/>
      <c r="C252" s="207"/>
      <c r="D252" s="4"/>
      <c r="E252" s="4"/>
      <c r="F252" s="4"/>
    </row>
    <row r="253" spans="1:6" x14ac:dyDescent="0.25">
      <c r="A253" s="4"/>
      <c r="B253" s="206"/>
      <c r="C253" s="207"/>
      <c r="D253" s="4"/>
      <c r="E253" s="4"/>
      <c r="F253" s="4"/>
    </row>
    <row r="254" spans="1:6" x14ac:dyDescent="0.25">
      <c r="A254" s="4"/>
      <c r="B254" s="206"/>
      <c r="C254" s="207"/>
      <c r="D254" s="4"/>
      <c r="E254" s="4"/>
      <c r="F254" s="4"/>
    </row>
    <row r="255" spans="1:6" x14ac:dyDescent="0.25">
      <c r="A255" s="4"/>
      <c r="B255" s="206"/>
      <c r="C255" s="207"/>
      <c r="D255" s="4"/>
      <c r="E255" s="4"/>
      <c r="F255" s="4"/>
    </row>
    <row r="256" spans="1:6" x14ac:dyDescent="0.25">
      <c r="A256" s="4"/>
      <c r="B256" s="206"/>
      <c r="C256" s="207"/>
      <c r="D256" s="4"/>
      <c r="E256" s="4"/>
      <c r="F256" s="4"/>
    </row>
    <row r="257" spans="1:6" x14ac:dyDescent="0.25">
      <c r="A257" s="4"/>
      <c r="B257" s="206"/>
      <c r="C257" s="207"/>
      <c r="D257" s="4"/>
      <c r="E257" s="4"/>
      <c r="F257" s="4"/>
    </row>
    <row r="258" spans="1:6" x14ac:dyDescent="0.25">
      <c r="A258" s="4"/>
      <c r="B258" s="206"/>
      <c r="C258" s="207"/>
      <c r="D258" s="4"/>
      <c r="E258" s="4"/>
      <c r="F258" s="4"/>
    </row>
    <row r="259" spans="1:6" x14ac:dyDescent="0.25">
      <c r="A259" s="4"/>
      <c r="B259" s="206"/>
      <c r="C259" s="207"/>
      <c r="D259" s="4"/>
      <c r="E259" s="4"/>
      <c r="F259" s="4"/>
    </row>
    <row r="260" spans="1:6" x14ac:dyDescent="0.25">
      <c r="A260" s="4"/>
      <c r="B260" s="206"/>
      <c r="C260" s="207"/>
      <c r="D260" s="4"/>
      <c r="E260" s="4"/>
      <c r="F260" s="4"/>
    </row>
    <row r="261" spans="1:6" x14ac:dyDescent="0.25">
      <c r="A261" s="4"/>
      <c r="B261" s="206"/>
      <c r="C261" s="207"/>
      <c r="D261" s="4"/>
      <c r="E261" s="4"/>
      <c r="F261" s="4"/>
    </row>
    <row r="262" spans="1:6" x14ac:dyDescent="0.25">
      <c r="A262" s="4"/>
      <c r="B262" s="206"/>
      <c r="C262" s="207"/>
      <c r="D262" s="4"/>
      <c r="E262" s="4"/>
      <c r="F262" s="4"/>
    </row>
    <row r="263" spans="1:6" x14ac:dyDescent="0.25">
      <c r="A263" s="4"/>
      <c r="B263" s="206"/>
      <c r="C263" s="207"/>
      <c r="D263" s="4"/>
      <c r="E263" s="4"/>
      <c r="F263" s="4"/>
    </row>
    <row r="264" spans="1:6" x14ac:dyDescent="0.25">
      <c r="A264" s="4"/>
      <c r="B264" s="206"/>
      <c r="C264" s="207"/>
      <c r="D264" s="4"/>
      <c r="E264" s="4"/>
      <c r="F264" s="4"/>
    </row>
    <row r="265" spans="1:6" x14ac:dyDescent="0.25">
      <c r="A265" s="4"/>
      <c r="B265" s="206"/>
      <c r="C265" s="207"/>
      <c r="D265" s="4"/>
      <c r="E265" s="4"/>
      <c r="F265" s="4"/>
    </row>
    <row r="266" spans="1:6" x14ac:dyDescent="0.25">
      <c r="A266" s="4"/>
      <c r="B266" s="206"/>
      <c r="C266" s="207"/>
      <c r="D266" s="4"/>
      <c r="E266" s="4"/>
      <c r="F266" s="4"/>
    </row>
    <row r="267" spans="1:6" x14ac:dyDescent="0.25">
      <c r="A267" s="4"/>
      <c r="B267" s="206"/>
      <c r="C267" s="207"/>
      <c r="D267" s="4"/>
      <c r="E267" s="4"/>
      <c r="F267" s="4"/>
    </row>
    <row r="268" spans="1:6" x14ac:dyDescent="0.25">
      <c r="A268" s="4"/>
      <c r="B268" s="206"/>
      <c r="C268" s="207"/>
      <c r="D268" s="4"/>
      <c r="E268" s="4"/>
      <c r="F268" s="4"/>
    </row>
    <row r="269" spans="1:6" x14ac:dyDescent="0.25">
      <c r="A269" s="4"/>
      <c r="B269" s="206"/>
      <c r="C269" s="207"/>
      <c r="D269" s="4"/>
      <c r="E269" s="4"/>
      <c r="F269" s="4"/>
    </row>
    <row r="270" spans="1:6" x14ac:dyDescent="0.25">
      <c r="A270" s="4"/>
      <c r="B270" s="206"/>
      <c r="C270" s="207"/>
      <c r="D270" s="4"/>
      <c r="E270" s="4"/>
      <c r="F270" s="4"/>
    </row>
    <row r="271" spans="1:6" x14ac:dyDescent="0.25">
      <c r="A271" s="4"/>
      <c r="B271" s="206"/>
      <c r="C271" s="207"/>
      <c r="D271" s="4"/>
      <c r="E271" s="4"/>
      <c r="F271" s="4"/>
    </row>
    <row r="272" spans="1:6" x14ac:dyDescent="0.25">
      <c r="A272" s="4"/>
      <c r="B272" s="206"/>
      <c r="C272" s="207"/>
      <c r="D272" s="4"/>
      <c r="E272" s="4"/>
      <c r="F272" s="4"/>
    </row>
    <row r="273" spans="1:6" x14ac:dyDescent="0.25">
      <c r="A273" s="4"/>
      <c r="B273" s="206"/>
      <c r="C273" s="207"/>
      <c r="D273" s="4"/>
      <c r="E273" s="4"/>
      <c r="F273" s="4"/>
    </row>
    <row r="274" spans="1:6" x14ac:dyDescent="0.25">
      <c r="A274" s="4"/>
      <c r="B274" s="206"/>
      <c r="C274" s="207"/>
      <c r="D274" s="4"/>
      <c r="E274" s="4"/>
      <c r="F274" s="4"/>
    </row>
    <row r="275" spans="1:6" x14ac:dyDescent="0.25">
      <c r="A275" s="4"/>
      <c r="B275" s="206"/>
      <c r="C275" s="207"/>
      <c r="D275" s="4"/>
      <c r="E275" s="4"/>
      <c r="F275" s="4"/>
    </row>
    <row r="276" spans="1:6" x14ac:dyDescent="0.25">
      <c r="A276" s="4"/>
      <c r="B276" s="206"/>
      <c r="C276" s="207"/>
      <c r="D276" s="4"/>
      <c r="E276" s="4"/>
      <c r="F276" s="4"/>
    </row>
    <row r="277" spans="1:6" x14ac:dyDescent="0.25">
      <c r="A277" s="4"/>
      <c r="B277" s="206"/>
      <c r="C277" s="207"/>
      <c r="D277" s="4"/>
      <c r="E277" s="4"/>
      <c r="F277" s="4"/>
    </row>
    <row r="278" spans="1:6" x14ac:dyDescent="0.25">
      <c r="A278" s="4"/>
      <c r="B278" s="206"/>
      <c r="C278" s="207"/>
      <c r="D278" s="4"/>
      <c r="E278" s="4"/>
      <c r="F278" s="4"/>
    </row>
    <row r="279" spans="1:6" x14ac:dyDescent="0.25">
      <c r="A279" s="4"/>
      <c r="B279" s="206"/>
      <c r="C279" s="207"/>
      <c r="D279" s="4"/>
      <c r="E279" s="4"/>
      <c r="F279" s="4"/>
    </row>
    <row r="280" spans="1:6" x14ac:dyDescent="0.25">
      <c r="A280" s="4"/>
      <c r="B280" s="206"/>
      <c r="C280" s="207"/>
      <c r="D280" s="4"/>
      <c r="E280" s="4"/>
      <c r="F280" s="4"/>
    </row>
    <row r="281" spans="1:6" x14ac:dyDescent="0.25">
      <c r="A281" s="4"/>
      <c r="B281" s="206"/>
      <c r="C281" s="207"/>
      <c r="D281" s="4"/>
      <c r="E281" s="4"/>
      <c r="F281" s="4"/>
    </row>
    <row r="282" spans="1:6" x14ac:dyDescent="0.25">
      <c r="A282" s="4"/>
      <c r="B282" s="206"/>
      <c r="C282" s="207"/>
      <c r="D282" s="4"/>
      <c r="E282" s="4"/>
      <c r="F282" s="4"/>
    </row>
    <row r="283" spans="1:6" x14ac:dyDescent="0.25">
      <c r="A283" s="4"/>
      <c r="B283" s="206"/>
      <c r="C283" s="207"/>
      <c r="D283" s="4"/>
      <c r="E283" s="4"/>
      <c r="F283" s="4"/>
    </row>
    <row r="284" spans="1:6" x14ac:dyDescent="0.25">
      <c r="A284" s="4"/>
      <c r="B284" s="206"/>
      <c r="C284" s="207"/>
      <c r="D284" s="4"/>
      <c r="E284" s="4"/>
      <c r="F284" s="4"/>
    </row>
    <row r="285" spans="1:6" x14ac:dyDescent="0.25">
      <c r="A285" s="4"/>
      <c r="B285" s="206"/>
      <c r="C285" s="207"/>
      <c r="D285" s="4"/>
      <c r="E285" s="4"/>
      <c r="F285" s="4"/>
    </row>
    <row r="286" spans="1:6" x14ac:dyDescent="0.25">
      <c r="A286" s="4"/>
      <c r="B286" s="206"/>
      <c r="C286" s="207"/>
      <c r="D286" s="4"/>
      <c r="E286" s="4"/>
      <c r="F286" s="4"/>
    </row>
    <row r="287" spans="1:6" x14ac:dyDescent="0.25">
      <c r="A287" s="4"/>
      <c r="B287" s="206"/>
      <c r="C287" s="207"/>
      <c r="D287" s="4"/>
      <c r="E287" s="4"/>
      <c r="F287" s="4"/>
    </row>
    <row r="288" spans="1:6" x14ac:dyDescent="0.25">
      <c r="A288" s="4"/>
      <c r="B288" s="206"/>
      <c r="C288" s="207"/>
      <c r="D288" s="4"/>
      <c r="E288" s="4"/>
      <c r="F288" s="4"/>
    </row>
    <row r="289" spans="1:6" x14ac:dyDescent="0.25">
      <c r="A289" s="4"/>
      <c r="B289" s="206"/>
      <c r="C289" s="207"/>
      <c r="D289" s="4"/>
      <c r="E289" s="4"/>
      <c r="F289" s="4"/>
    </row>
    <row r="290" spans="1:6" x14ac:dyDescent="0.25">
      <c r="A290" s="4"/>
      <c r="B290" s="206"/>
      <c r="C290" s="207"/>
      <c r="D290" s="4"/>
      <c r="E290" s="4"/>
      <c r="F290" s="4"/>
    </row>
    <row r="291" spans="1:6" x14ac:dyDescent="0.25">
      <c r="A291" s="4"/>
      <c r="B291" s="206"/>
      <c r="C291" s="207"/>
      <c r="D291" s="4"/>
      <c r="E291" s="4"/>
      <c r="F291" s="4"/>
    </row>
    <row r="292" spans="1:6" x14ac:dyDescent="0.25">
      <c r="A292" s="4"/>
      <c r="B292" s="206"/>
      <c r="C292" s="207"/>
      <c r="D292" s="4"/>
      <c r="E292" s="4"/>
      <c r="F292" s="4"/>
    </row>
    <row r="293" spans="1:6" x14ac:dyDescent="0.25">
      <c r="A293" s="4"/>
      <c r="B293" s="206"/>
      <c r="C293" s="207"/>
      <c r="D293" s="4"/>
      <c r="E293" s="4"/>
      <c r="F293" s="4"/>
    </row>
    <row r="294" spans="1:6" x14ac:dyDescent="0.25">
      <c r="A294" s="4"/>
      <c r="B294" s="206"/>
      <c r="C294" s="207"/>
      <c r="D294" s="4"/>
      <c r="E294" s="4"/>
      <c r="F294" s="4"/>
    </row>
    <row r="295" spans="1:6" x14ac:dyDescent="0.25">
      <c r="A295" s="4"/>
      <c r="B295" s="206"/>
      <c r="C295" s="207"/>
      <c r="D295" s="4"/>
      <c r="E295" s="4"/>
      <c r="F295" s="4"/>
    </row>
    <row r="296" spans="1:6" x14ac:dyDescent="0.25">
      <c r="A296" s="4"/>
      <c r="B296" s="206"/>
      <c r="C296" s="207"/>
      <c r="D296" s="4"/>
      <c r="E296" s="4"/>
      <c r="F296" s="4"/>
    </row>
    <row r="297" spans="1:6" x14ac:dyDescent="0.25">
      <c r="A297" s="4"/>
      <c r="B297" s="206"/>
      <c r="C297" s="207"/>
      <c r="D297" s="4"/>
      <c r="E297" s="4"/>
      <c r="F297" s="4"/>
    </row>
    <row r="298" spans="1:6" x14ac:dyDescent="0.25">
      <c r="A298" s="4"/>
      <c r="B298" s="206"/>
      <c r="C298" s="207"/>
      <c r="D298" s="4"/>
      <c r="E298" s="4"/>
      <c r="F298" s="4"/>
    </row>
    <row r="299" spans="1:6" x14ac:dyDescent="0.25">
      <c r="A299" s="4"/>
      <c r="B299" s="206"/>
      <c r="C299" s="207"/>
      <c r="D299" s="4"/>
      <c r="E299" s="4"/>
      <c r="F299" s="4"/>
    </row>
    <row r="300" spans="1:6" x14ac:dyDescent="0.25">
      <c r="A300" s="4"/>
      <c r="B300" s="206"/>
      <c r="C300" s="207"/>
      <c r="D300" s="4"/>
      <c r="E300" s="4"/>
      <c r="F300" s="4"/>
    </row>
    <row r="301" spans="1:6" x14ac:dyDescent="0.25">
      <c r="A301" s="4"/>
      <c r="B301" s="206"/>
      <c r="C301" s="207"/>
      <c r="D301" s="4"/>
      <c r="E301" s="4"/>
      <c r="F301" s="4"/>
    </row>
    <row r="302" spans="1:6" x14ac:dyDescent="0.25">
      <c r="A302" s="4"/>
      <c r="B302" s="206"/>
      <c r="C302" s="207"/>
      <c r="D302" s="4"/>
      <c r="E302" s="4"/>
      <c r="F302" s="4"/>
    </row>
    <row r="303" spans="1:6" x14ac:dyDescent="0.25">
      <c r="A303" s="4"/>
      <c r="B303" s="206"/>
      <c r="C303" s="207"/>
      <c r="D303" s="4"/>
      <c r="E303" s="4"/>
      <c r="F303" s="4"/>
    </row>
    <row r="304" spans="1:6" x14ac:dyDescent="0.25">
      <c r="A304" s="4"/>
      <c r="B304" s="206"/>
      <c r="C304" s="207"/>
      <c r="D304" s="4"/>
      <c r="E304" s="4"/>
      <c r="F304" s="4"/>
    </row>
    <row r="305" spans="1:6" x14ac:dyDescent="0.25">
      <c r="A305" s="4"/>
      <c r="B305" s="206"/>
      <c r="C305" s="207"/>
      <c r="D305" s="4"/>
      <c r="E305" s="4"/>
      <c r="F305" s="4"/>
    </row>
    <row r="306" spans="1:6" x14ac:dyDescent="0.25">
      <c r="A306" s="4"/>
      <c r="B306" s="206"/>
      <c r="C306" s="207"/>
      <c r="D306" s="4"/>
      <c r="E306" s="4"/>
      <c r="F306" s="4"/>
    </row>
    <row r="307" spans="1:6" x14ac:dyDescent="0.25">
      <c r="A307" s="4"/>
      <c r="B307" s="206"/>
      <c r="C307" s="207"/>
      <c r="D307" s="4"/>
      <c r="E307" s="4"/>
      <c r="F307" s="4"/>
    </row>
    <row r="308" spans="1:6" x14ac:dyDescent="0.25">
      <c r="A308" s="4"/>
      <c r="B308" s="206"/>
      <c r="C308" s="207"/>
      <c r="D308" s="4"/>
      <c r="E308" s="4"/>
      <c r="F308" s="4"/>
    </row>
    <row r="309" spans="1:6" x14ac:dyDescent="0.25">
      <c r="A309" s="4"/>
      <c r="B309" s="206"/>
      <c r="C309" s="207"/>
      <c r="D309" s="4"/>
      <c r="E309" s="4"/>
      <c r="F309" s="4"/>
    </row>
    <row r="310" spans="1:6" x14ac:dyDescent="0.25">
      <c r="A310" s="4"/>
      <c r="B310" s="206"/>
      <c r="C310" s="207"/>
      <c r="D310" s="4"/>
      <c r="E310" s="4"/>
      <c r="F310" s="4"/>
    </row>
    <row r="311" spans="1:6" x14ac:dyDescent="0.25">
      <c r="A311" s="4"/>
      <c r="B311" s="206"/>
      <c r="C311" s="207"/>
      <c r="D311" s="4"/>
      <c r="E311" s="4"/>
      <c r="F311" s="4"/>
    </row>
    <row r="312" spans="1:6" x14ac:dyDescent="0.25">
      <c r="A312" s="4"/>
      <c r="B312" s="206"/>
      <c r="C312" s="207"/>
      <c r="D312" s="4"/>
      <c r="E312" s="4"/>
      <c r="F312" s="4"/>
    </row>
    <row r="313" spans="1:6" x14ac:dyDescent="0.25">
      <c r="A313" s="4"/>
      <c r="B313" s="206"/>
      <c r="C313" s="207"/>
      <c r="D313" s="4"/>
      <c r="E313" s="4"/>
      <c r="F313" s="4"/>
    </row>
    <row r="314" spans="1:6" x14ac:dyDescent="0.25">
      <c r="A314" s="4"/>
      <c r="B314" s="206"/>
      <c r="C314" s="207"/>
      <c r="D314" s="4"/>
      <c r="E314" s="4"/>
      <c r="F314" s="4"/>
    </row>
    <row r="315" spans="1:6" x14ac:dyDescent="0.25">
      <c r="A315" s="4"/>
      <c r="B315" s="206"/>
      <c r="C315" s="207"/>
      <c r="D315" s="4"/>
      <c r="E315" s="4"/>
      <c r="F315" s="4"/>
    </row>
    <row r="316" spans="1:6" x14ac:dyDescent="0.25">
      <c r="A316" s="4"/>
      <c r="B316" s="206"/>
      <c r="C316" s="207"/>
      <c r="D316" s="4"/>
      <c r="E316" s="4"/>
      <c r="F316" s="4"/>
    </row>
    <row r="317" spans="1:6" x14ac:dyDescent="0.25">
      <c r="A317" s="4"/>
      <c r="B317" s="206"/>
      <c r="C317" s="207"/>
      <c r="D317" s="4"/>
      <c r="E317" s="4"/>
      <c r="F317" s="4"/>
    </row>
    <row r="318" spans="1:6" x14ac:dyDescent="0.25">
      <c r="A318" s="4"/>
      <c r="B318" s="206"/>
      <c r="C318" s="207"/>
      <c r="D318" s="4"/>
      <c r="E318" s="4"/>
      <c r="F318" s="4"/>
    </row>
    <row r="319" spans="1:6" x14ac:dyDescent="0.25">
      <c r="A319" s="4"/>
      <c r="B319" s="206"/>
      <c r="C319" s="207"/>
      <c r="D319" s="4"/>
      <c r="E319" s="4"/>
      <c r="F319" s="4"/>
    </row>
    <row r="320" spans="1:6" x14ac:dyDescent="0.25">
      <c r="A320" s="4"/>
      <c r="B320" s="206"/>
      <c r="C320" s="207"/>
      <c r="D320" s="4"/>
      <c r="E320" s="4"/>
      <c r="F320" s="4"/>
    </row>
    <row r="321" spans="1:6" x14ac:dyDescent="0.25">
      <c r="A321" s="4"/>
      <c r="B321" s="206"/>
      <c r="C321" s="207"/>
      <c r="D321" s="4"/>
      <c r="E321" s="4"/>
      <c r="F321" s="4"/>
    </row>
    <row r="322" spans="1:6" x14ac:dyDescent="0.25">
      <c r="A322" s="4"/>
      <c r="B322" s="206"/>
      <c r="C322" s="207"/>
      <c r="D322" s="4"/>
      <c r="E322" s="4"/>
      <c r="F322" s="4"/>
    </row>
    <row r="323" spans="1:6" x14ac:dyDescent="0.25">
      <c r="A323" s="4"/>
      <c r="B323" s="206"/>
      <c r="C323" s="207"/>
      <c r="D323" s="4"/>
      <c r="E323" s="4"/>
      <c r="F323" s="4"/>
    </row>
    <row r="324" spans="1:6" x14ac:dyDescent="0.25">
      <c r="A324" s="4"/>
      <c r="B324" s="206"/>
      <c r="C324" s="207"/>
      <c r="D324" s="4"/>
      <c r="E324" s="4"/>
      <c r="F324" s="4"/>
    </row>
    <row r="325" spans="1:6" x14ac:dyDescent="0.25">
      <c r="A325" s="4"/>
      <c r="B325" s="206"/>
      <c r="C325" s="207"/>
      <c r="D325" s="4"/>
      <c r="E325" s="4"/>
      <c r="F325" s="4"/>
    </row>
    <row r="326" spans="1:6" x14ac:dyDescent="0.25">
      <c r="A326" s="4"/>
      <c r="B326" s="206"/>
      <c r="C326" s="207"/>
      <c r="D326" s="4"/>
      <c r="E326" s="4"/>
      <c r="F326" s="4"/>
    </row>
    <row r="327" spans="1:6" x14ac:dyDescent="0.25">
      <c r="A327" s="4"/>
      <c r="B327" s="206"/>
      <c r="C327" s="207"/>
      <c r="D327" s="4"/>
      <c r="E327" s="4"/>
      <c r="F327" s="4"/>
    </row>
    <row r="328" spans="1:6" x14ac:dyDescent="0.25">
      <c r="A328" s="4"/>
      <c r="B328" s="206"/>
      <c r="C328" s="207"/>
      <c r="D328" s="4"/>
      <c r="E328" s="4"/>
      <c r="F328" s="4"/>
    </row>
    <row r="329" spans="1:6" x14ac:dyDescent="0.25">
      <c r="A329" s="4"/>
      <c r="B329" s="206"/>
      <c r="C329" s="207"/>
      <c r="D329" s="4"/>
      <c r="E329" s="4"/>
      <c r="F329" s="4"/>
    </row>
    <row r="330" spans="1:6" x14ac:dyDescent="0.25">
      <c r="A330" s="4"/>
      <c r="B330" s="206"/>
      <c r="C330" s="207"/>
      <c r="D330" s="4"/>
      <c r="E330" s="4"/>
      <c r="F330" s="4"/>
    </row>
    <row r="331" spans="1:6" x14ac:dyDescent="0.25">
      <c r="A331" s="4"/>
      <c r="B331" s="206"/>
      <c r="C331" s="207"/>
      <c r="D331" s="4"/>
      <c r="E331" s="4"/>
      <c r="F331" s="4"/>
    </row>
    <row r="332" spans="1:6" x14ac:dyDescent="0.25">
      <c r="A332" s="4"/>
      <c r="B332" s="206"/>
      <c r="C332" s="207"/>
      <c r="D332" s="4"/>
      <c r="E332" s="4"/>
      <c r="F332" s="4"/>
    </row>
  </sheetData>
  <mergeCells count="89">
    <mergeCell ref="B1:D1"/>
    <mergeCell ref="C31:D31"/>
    <mergeCell ref="C33:D33"/>
    <mergeCell ref="C35:D35"/>
    <mergeCell ref="C37:D37"/>
    <mergeCell ref="C96:D96"/>
    <mergeCell ref="B38:E38"/>
    <mergeCell ref="C41:D41"/>
    <mergeCell ref="C43:D43"/>
    <mergeCell ref="C45:D45"/>
    <mergeCell ref="B48:E48"/>
    <mergeCell ref="C47:D47"/>
    <mergeCell ref="C131:D131"/>
    <mergeCell ref="C185:D185"/>
    <mergeCell ref="B58:E58"/>
    <mergeCell ref="B67:E67"/>
    <mergeCell ref="B77:E77"/>
    <mergeCell ref="B87:E87"/>
    <mergeCell ref="B97:E97"/>
    <mergeCell ref="C72:D72"/>
    <mergeCell ref="C74:D74"/>
    <mergeCell ref="C76:D76"/>
    <mergeCell ref="C80:D80"/>
    <mergeCell ref="C94:D94"/>
    <mergeCell ref="C84:D84"/>
    <mergeCell ref="C86:D86"/>
    <mergeCell ref="C90:D90"/>
    <mergeCell ref="C92:D92"/>
    <mergeCell ref="B135:E135"/>
    <mergeCell ref="B144:E144"/>
    <mergeCell ref="B153:E153"/>
    <mergeCell ref="B162:E162"/>
    <mergeCell ref="C134:D134"/>
    <mergeCell ref="C138:D138"/>
    <mergeCell ref="C140:D140"/>
    <mergeCell ref="C143:D143"/>
    <mergeCell ref="C147:D147"/>
    <mergeCell ref="C149:D149"/>
    <mergeCell ref="C152:D152"/>
    <mergeCell ref="C156:D156"/>
    <mergeCell ref="C158:D158"/>
    <mergeCell ref="C161:D161"/>
    <mergeCell ref="B225:E225"/>
    <mergeCell ref="C51:D51"/>
    <mergeCell ref="C53:D53"/>
    <mergeCell ref="C55:D55"/>
    <mergeCell ref="C57:D57"/>
    <mergeCell ref="C61:D61"/>
    <mergeCell ref="C63:D63"/>
    <mergeCell ref="C66:D66"/>
    <mergeCell ref="C70:D70"/>
    <mergeCell ref="B171:E171"/>
    <mergeCell ref="B180:E180"/>
    <mergeCell ref="B189:E189"/>
    <mergeCell ref="B198:E198"/>
    <mergeCell ref="B207:E207"/>
    <mergeCell ref="B216:E216"/>
    <mergeCell ref="C82:D82"/>
    <mergeCell ref="C105:D105"/>
    <mergeCell ref="C102:D102"/>
    <mergeCell ref="C109:D109"/>
    <mergeCell ref="C111:D111"/>
    <mergeCell ref="C113:D113"/>
    <mergeCell ref="B106:E106"/>
    <mergeCell ref="C115:D115"/>
    <mergeCell ref="C119:D119"/>
    <mergeCell ref="C121:D121"/>
    <mergeCell ref="C124:D124"/>
    <mergeCell ref="C129:D129"/>
    <mergeCell ref="B116:E116"/>
    <mergeCell ref="B125:E125"/>
    <mergeCell ref="C165:D165"/>
    <mergeCell ref="C167:D167"/>
    <mergeCell ref="C174:D174"/>
    <mergeCell ref="C176:D176"/>
    <mergeCell ref="C183:D183"/>
    <mergeCell ref="C221:D221"/>
    <mergeCell ref="C224:D224"/>
    <mergeCell ref="C201:D201"/>
    <mergeCell ref="C203:D203"/>
    <mergeCell ref="C206:D206"/>
    <mergeCell ref="C210:D210"/>
    <mergeCell ref="C212:D212"/>
    <mergeCell ref="C215:D215"/>
    <mergeCell ref="C188:D188"/>
    <mergeCell ref="C192:D192"/>
    <mergeCell ref="C194:D194"/>
    <mergeCell ref="C197:D197"/>
    <mergeCell ref="C219:D219"/>
  </mergeCells>
  <hyperlinks>
    <hyperlink ref="C4" location="Guidance!C29" display="Greenhouse Gases "/>
    <hyperlink ref="C5" location="Guidance!C44" display="Air Quality"/>
    <hyperlink ref="C6" location="Guidance!C54" display="Sustainable Transport "/>
    <hyperlink ref="C7" location="Guidance!C64" display="Land Use Change "/>
    <hyperlink ref="C8" location="Guidance!C72" display="Biodiversity "/>
    <hyperlink ref="C9" location="Guidance!C83" display="Soil, Watercourse and Marine Health "/>
    <hyperlink ref="C10" location="Guidance!C94" display="Adaptation "/>
    <hyperlink ref="C11" location="Guidance!C106" display="Energy Use"/>
    <hyperlink ref="C12" location="Guidance!C111" display="Sustainable Materials"/>
    <hyperlink ref="C13" location="Guidance!C121" display="Waste"/>
    <hyperlink ref="C16" location="Guidance!C131" display="Food "/>
    <hyperlink ref="C17" location="Guidance!C141" display="Health and Wellbeing "/>
    <hyperlink ref="C18" location="Guidance!C151" display="Housing "/>
    <hyperlink ref="C19" location="Guidance!C159" display="Education"/>
    <hyperlink ref="C20" location="Guidance!C168" display="Built Community "/>
    <hyperlink ref="C21" location="Guidance!C177" display="Cultural Community"/>
    <hyperlink ref="C23" location="Guidance!C194" display="Local Economy and Jobs"/>
    <hyperlink ref="C22" location="Guidance!C185" display="Accessibility "/>
    <hyperlink ref="C24" location="Guidance!C203" display="Safety and Crime "/>
    <hyperlink ref="C25" location="Guidance!C211" display="Equity "/>
    <hyperlink ref="C26" location="Guidance!C221" display="Democratic Voice "/>
    <hyperlink ref="B38:E38" location="Guidance!A1" display="&gt;&gt;&gt;&gt;&gt; JUMP BACK TO TOP - CLICK HERE &lt;&lt;&lt;&lt;&lt;"/>
    <hyperlink ref="B48:E48" location="Guidance!A1" display="&gt;&gt;&gt;&gt;&gt; JUMP BACK TO TOP - CLICK HERE &lt;&lt;&lt;&lt;&lt;"/>
    <hyperlink ref="B58:E58" location="Guidance!A1" display="&gt;&gt;&gt;&gt;&gt; JUMP BACK TO TOP - CLICK HERE &lt;&lt;&lt;&lt;&lt;"/>
    <hyperlink ref="B67:E67" location="Guidance!A1" display="&gt;&gt;&gt;&gt;&gt; JUMP BACK TO TOP - CLICK HERE &lt;&lt;&lt;&lt;&lt;"/>
    <hyperlink ref="B77:E77" location="Guidance!A1" display="&gt;&gt;&gt;&gt;&gt; JUMP BACK TO TOP - CLICK HERE &lt;&lt;&lt;&lt;&lt;"/>
    <hyperlink ref="B87:E87" location="Guidance!A1" display="&gt;&gt;&gt;&gt;&gt; JUMP BACK TO TOP - CLICK HERE &lt;&lt;&lt;&lt;&lt;"/>
    <hyperlink ref="B97:E97" location="Guidance!A1" display="&gt;&gt;&gt;&gt;&gt; JUMP BACK TO TOP - CLICK HERE &lt;&lt;&lt;&lt;&lt;"/>
    <hyperlink ref="B106:E106" location="Guidance!A1" display="&gt;&gt;&gt;&gt;&gt; JUMP BACK TO TOP - CLICK HERE &lt;&lt;&lt;&lt;&lt;"/>
    <hyperlink ref="B116:E116" location="Guidance!A1" display="&gt;&gt;&gt;&gt;&gt; JUMP BACK TO TOP - CLICK HERE &lt;&lt;&lt;&lt;&lt;"/>
    <hyperlink ref="B125:E125" location="Guidance!A1" display="&gt;&gt;&gt;&gt;&gt; JUMP BACK TO TOP - CLICK HERE &lt;&lt;&lt;&lt;&lt;"/>
    <hyperlink ref="B135:E135" location="Guidance!A1" display="&gt;&gt;&gt;&gt;&gt; JUMP BACK TO TOP - CLICK HERE &lt;&lt;&lt;&lt;&lt;"/>
    <hyperlink ref="B144:E144" location="Guidance!A1" display="&gt;&gt;&gt;&gt;&gt; JUMP BACK TO TOP - CLICK HERE &lt;&lt;&lt;&lt;&lt;"/>
    <hyperlink ref="B153:E153" location="Guidance!A1" display="&gt;&gt;&gt;&gt;&gt; JUMP BACK TO TOP - CLICK HERE &lt;&lt;&lt;&lt;&lt;"/>
    <hyperlink ref="B162:E162" location="Guidance!A1" display="&gt;&gt;&gt;&gt;&gt; JUMP BACK TO TOP - CLICK HERE &lt;&lt;&lt;&lt;&lt;"/>
    <hyperlink ref="B171:E171" location="Guidance!A1" display="&gt;&gt;&gt;&gt;&gt; JUMP BACK TO TOP - CLICK HERE &lt;&lt;&lt;&lt;&lt;"/>
    <hyperlink ref="B180:E180" location="Guidance!A1" display="&gt;&gt;&gt;&gt;&gt; JUMP BACK TO TOP - CLICK HERE &lt;&lt;&lt;&lt;&lt;"/>
    <hyperlink ref="B189:E189" location="Guidance!A1" display="&gt;&gt;&gt;&gt;&gt; JUMP BACK TO TOP - CLICK HERE &lt;&lt;&lt;&lt;&lt;"/>
    <hyperlink ref="B198:E198" location="Guidance!A1" display="&gt;&gt;&gt;&gt;&gt; JUMP BACK TO TOP - CLICK HERE &lt;&lt;&lt;&lt;&lt;"/>
    <hyperlink ref="B207:E207" location="Guidance!A1" display="&gt;&gt;&gt;&gt;&gt; JUMP BACK TO TOP - CLICK HERE &lt;&lt;&lt;&lt;&lt;"/>
    <hyperlink ref="B216:E216" location="Guidance!A1" display="&gt;&gt;&gt;&gt;&gt; JUMP BACK TO TOP - CLICK HERE &lt;&lt;&lt;&lt;&lt;"/>
    <hyperlink ref="B225:E225" location="Guidance!A1" display="&gt;&gt;&gt;&gt;&gt; JUMP BACK TO TOP - CLICK HERE &lt;&lt;&lt;&lt;&lt;"/>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89"/>
  <sheetViews>
    <sheetView topLeftCell="A53" workbookViewId="0">
      <selection activeCell="I64" sqref="I64:I68"/>
    </sheetView>
  </sheetViews>
  <sheetFormatPr defaultRowHeight="15" x14ac:dyDescent="0.25"/>
  <cols>
    <col min="1" max="1" width="26.140625" customWidth="1"/>
  </cols>
  <sheetData>
    <row r="1" spans="1:15" ht="15.75" thickBot="1" x14ac:dyDescent="0.3">
      <c r="A1" s="2" t="s">
        <v>146</v>
      </c>
      <c r="B1" s="2" t="s">
        <v>79</v>
      </c>
    </row>
    <row r="2" spans="1:15" x14ac:dyDescent="0.25">
      <c r="A2" t="s">
        <v>145</v>
      </c>
      <c r="B2">
        <v>2</v>
      </c>
      <c r="G2" t="s">
        <v>144</v>
      </c>
      <c r="L2" t="s">
        <v>147</v>
      </c>
      <c r="O2" t="s">
        <v>148</v>
      </c>
    </row>
    <row r="3" spans="1:15" x14ac:dyDescent="0.25">
      <c r="A3" t="s">
        <v>141</v>
      </c>
      <c r="B3">
        <v>1</v>
      </c>
      <c r="G3" t="s">
        <v>140</v>
      </c>
      <c r="L3" t="s">
        <v>149</v>
      </c>
      <c r="O3" t="s">
        <v>150</v>
      </c>
    </row>
    <row r="4" spans="1:15" x14ac:dyDescent="0.25">
      <c r="A4" t="s">
        <v>142</v>
      </c>
      <c r="B4">
        <v>0</v>
      </c>
      <c r="L4" t="s">
        <v>151</v>
      </c>
      <c r="O4" t="s">
        <v>238</v>
      </c>
    </row>
    <row r="5" spans="1:15" x14ac:dyDescent="0.25">
      <c r="A5" t="s">
        <v>139</v>
      </c>
      <c r="B5">
        <v>-1</v>
      </c>
      <c r="O5" t="s">
        <v>152</v>
      </c>
    </row>
    <row r="6" spans="1:15" x14ac:dyDescent="0.25">
      <c r="A6" t="s">
        <v>154</v>
      </c>
      <c r="B6">
        <v>-2</v>
      </c>
      <c r="O6" t="s">
        <v>153</v>
      </c>
    </row>
    <row r="7" spans="1:15" x14ac:dyDescent="0.25">
      <c r="G7" t="s">
        <v>8</v>
      </c>
      <c r="I7" t="s">
        <v>155</v>
      </c>
      <c r="L7" t="s">
        <v>156</v>
      </c>
      <c r="O7" t="s">
        <v>1</v>
      </c>
    </row>
    <row r="8" spans="1:15" x14ac:dyDescent="0.25">
      <c r="A8" t="s">
        <v>157</v>
      </c>
      <c r="B8">
        <v>2</v>
      </c>
      <c r="G8" t="s">
        <v>9</v>
      </c>
      <c r="I8" t="s">
        <v>158</v>
      </c>
      <c r="L8" t="s">
        <v>159</v>
      </c>
    </row>
    <row r="9" spans="1:15" x14ac:dyDescent="0.25">
      <c r="A9" t="s">
        <v>160</v>
      </c>
      <c r="B9">
        <v>1</v>
      </c>
      <c r="G9" t="s">
        <v>143</v>
      </c>
      <c r="I9" t="s">
        <v>9</v>
      </c>
      <c r="L9" t="s">
        <v>161</v>
      </c>
    </row>
    <row r="10" spans="1:15" x14ac:dyDescent="0.25">
      <c r="A10" t="s">
        <v>143</v>
      </c>
      <c r="B10">
        <v>0</v>
      </c>
    </row>
    <row r="11" spans="1:15" x14ac:dyDescent="0.25">
      <c r="A11" t="s">
        <v>162</v>
      </c>
      <c r="B11">
        <v>-2</v>
      </c>
    </row>
    <row r="13" spans="1:15" x14ac:dyDescent="0.25">
      <c r="A13" s="352" t="s">
        <v>135</v>
      </c>
      <c r="B13" s="352"/>
      <c r="I13" s="353" t="s">
        <v>131</v>
      </c>
      <c r="J13" s="353"/>
      <c r="K13" s="353"/>
      <c r="L13" s="353"/>
      <c r="M13" s="353"/>
      <c r="N13" s="353"/>
      <c r="O13" s="353"/>
    </row>
    <row r="14" spans="1:15" x14ac:dyDescent="0.25">
      <c r="A14" s="3" t="s">
        <v>100</v>
      </c>
      <c r="I14" s="3" t="s">
        <v>129</v>
      </c>
      <c r="N14" s="3" t="s">
        <v>123</v>
      </c>
    </row>
    <row r="15" spans="1:15" x14ac:dyDescent="0.25">
      <c r="A15" t="s">
        <v>163</v>
      </c>
      <c r="I15" t="s">
        <v>164</v>
      </c>
      <c r="N15" t="s">
        <v>571</v>
      </c>
    </row>
    <row r="16" spans="1:15" x14ac:dyDescent="0.25">
      <c r="A16" t="s">
        <v>165</v>
      </c>
      <c r="I16" t="s">
        <v>11</v>
      </c>
      <c r="N16" t="s">
        <v>572</v>
      </c>
    </row>
    <row r="17" spans="1:14" x14ac:dyDescent="0.25">
      <c r="A17" t="s">
        <v>16</v>
      </c>
      <c r="I17" t="s">
        <v>16</v>
      </c>
      <c r="N17" t="s">
        <v>16</v>
      </c>
    </row>
    <row r="18" spans="1:14" x14ac:dyDescent="0.25">
      <c r="A18" t="s">
        <v>166</v>
      </c>
      <c r="I18" t="s">
        <v>167</v>
      </c>
      <c r="N18" t="s">
        <v>573</v>
      </c>
    </row>
    <row r="19" spans="1:14" x14ac:dyDescent="0.25">
      <c r="A19" t="s">
        <v>168</v>
      </c>
      <c r="I19" t="s">
        <v>169</v>
      </c>
      <c r="N19" t="s">
        <v>574</v>
      </c>
    </row>
    <row r="21" spans="1:14" x14ac:dyDescent="0.25">
      <c r="A21" s="3" t="s">
        <v>124</v>
      </c>
      <c r="I21" s="3" t="s">
        <v>87</v>
      </c>
      <c r="J21" s="3"/>
    </row>
    <row r="22" spans="1:14" x14ac:dyDescent="0.25">
      <c r="A22" t="s">
        <v>170</v>
      </c>
      <c r="I22" t="s">
        <v>14</v>
      </c>
    </row>
    <row r="23" spans="1:14" x14ac:dyDescent="0.25">
      <c r="A23" t="s">
        <v>171</v>
      </c>
      <c r="I23" t="s">
        <v>172</v>
      </c>
    </row>
    <row r="24" spans="1:14" x14ac:dyDescent="0.25">
      <c r="A24" t="s">
        <v>16</v>
      </c>
      <c r="I24" t="s">
        <v>16</v>
      </c>
    </row>
    <row r="25" spans="1:14" x14ac:dyDescent="0.25">
      <c r="A25" t="s">
        <v>42</v>
      </c>
      <c r="I25" t="s">
        <v>173</v>
      </c>
    </row>
    <row r="26" spans="1:14" x14ac:dyDescent="0.25">
      <c r="A26" t="s">
        <v>174</v>
      </c>
      <c r="I26" t="s">
        <v>175</v>
      </c>
    </row>
    <row r="28" spans="1:14" x14ac:dyDescent="0.25">
      <c r="A28" s="3" t="s">
        <v>102</v>
      </c>
      <c r="I28" s="3" t="s">
        <v>130</v>
      </c>
    </row>
    <row r="29" spans="1:14" x14ac:dyDescent="0.25">
      <c r="A29" s="8" t="s">
        <v>176</v>
      </c>
      <c r="I29" t="s">
        <v>177</v>
      </c>
    </row>
    <row r="30" spans="1:14" x14ac:dyDescent="0.25">
      <c r="A30" s="8" t="s">
        <v>178</v>
      </c>
      <c r="I30" t="s">
        <v>179</v>
      </c>
    </row>
    <row r="31" spans="1:14" x14ac:dyDescent="0.25">
      <c r="A31" t="s">
        <v>16</v>
      </c>
      <c r="I31" t="s">
        <v>16</v>
      </c>
    </row>
    <row r="32" spans="1:14" x14ac:dyDescent="0.25">
      <c r="A32" s="8" t="s">
        <v>180</v>
      </c>
      <c r="I32" t="s">
        <v>181</v>
      </c>
    </row>
    <row r="33" spans="1:9" x14ac:dyDescent="0.25">
      <c r="A33" s="8" t="s">
        <v>182</v>
      </c>
      <c r="I33" t="s">
        <v>183</v>
      </c>
    </row>
    <row r="35" spans="1:9" x14ac:dyDescent="0.25">
      <c r="A35" s="9" t="s">
        <v>103</v>
      </c>
      <c r="I35" s="3" t="s">
        <v>89</v>
      </c>
    </row>
    <row r="36" spans="1:9" x14ac:dyDescent="0.25">
      <c r="A36" t="s">
        <v>184</v>
      </c>
      <c r="I36" t="s">
        <v>185</v>
      </c>
    </row>
    <row r="37" spans="1:9" x14ac:dyDescent="0.25">
      <c r="A37" t="s">
        <v>186</v>
      </c>
      <c r="I37" s="10" t="s">
        <v>187</v>
      </c>
    </row>
    <row r="38" spans="1:9" x14ac:dyDescent="0.25">
      <c r="A38" t="s">
        <v>16</v>
      </c>
      <c r="I38" t="s">
        <v>16</v>
      </c>
    </row>
    <row r="39" spans="1:9" x14ac:dyDescent="0.25">
      <c r="A39" t="s">
        <v>188</v>
      </c>
      <c r="I39" s="10" t="s">
        <v>189</v>
      </c>
    </row>
    <row r="40" spans="1:9" x14ac:dyDescent="0.25">
      <c r="A40" t="s">
        <v>190</v>
      </c>
      <c r="I40" s="10" t="s">
        <v>191</v>
      </c>
    </row>
    <row r="42" spans="1:9" x14ac:dyDescent="0.25">
      <c r="A42" s="3" t="s">
        <v>192</v>
      </c>
      <c r="I42" s="3" t="s">
        <v>242</v>
      </c>
    </row>
    <row r="43" spans="1:9" x14ac:dyDescent="0.25">
      <c r="A43" t="s">
        <v>193</v>
      </c>
      <c r="I43" t="s">
        <v>194</v>
      </c>
    </row>
    <row r="44" spans="1:9" x14ac:dyDescent="0.25">
      <c r="A44" t="s">
        <v>195</v>
      </c>
      <c r="I44" t="s">
        <v>196</v>
      </c>
    </row>
    <row r="45" spans="1:9" x14ac:dyDescent="0.25">
      <c r="A45" t="s">
        <v>16</v>
      </c>
      <c r="I45" t="s">
        <v>16</v>
      </c>
    </row>
    <row r="46" spans="1:9" x14ac:dyDescent="0.25">
      <c r="A46" t="s">
        <v>197</v>
      </c>
      <c r="I46" t="s">
        <v>198</v>
      </c>
    </row>
    <row r="47" spans="1:9" x14ac:dyDescent="0.25">
      <c r="A47" t="s">
        <v>199</v>
      </c>
      <c r="I47" t="s">
        <v>200</v>
      </c>
    </row>
    <row r="49" spans="1:13" x14ac:dyDescent="0.25">
      <c r="A49" s="3" t="s">
        <v>106</v>
      </c>
      <c r="I49" s="3" t="s">
        <v>126</v>
      </c>
    </row>
    <row r="50" spans="1:13" x14ac:dyDescent="0.25">
      <c r="A50" t="s">
        <v>201</v>
      </c>
      <c r="I50" t="s">
        <v>202</v>
      </c>
    </row>
    <row r="51" spans="1:13" x14ac:dyDescent="0.25">
      <c r="A51" t="s">
        <v>203</v>
      </c>
      <c r="I51" t="s">
        <v>204</v>
      </c>
    </row>
    <row r="52" spans="1:13" x14ac:dyDescent="0.25">
      <c r="A52" t="s">
        <v>16</v>
      </c>
      <c r="I52" t="s">
        <v>16</v>
      </c>
    </row>
    <row r="53" spans="1:13" x14ac:dyDescent="0.25">
      <c r="A53" t="s">
        <v>205</v>
      </c>
      <c r="I53" t="s">
        <v>206</v>
      </c>
    </row>
    <row r="54" spans="1:13" x14ac:dyDescent="0.25">
      <c r="A54" t="s">
        <v>207</v>
      </c>
      <c r="I54" t="s">
        <v>208</v>
      </c>
    </row>
    <row r="56" spans="1:13" x14ac:dyDescent="0.25">
      <c r="A56" s="3" t="s">
        <v>107</v>
      </c>
      <c r="I56" s="3" t="s">
        <v>92</v>
      </c>
      <c r="M56" s="3" t="s">
        <v>209</v>
      </c>
    </row>
    <row r="57" spans="1:13" x14ac:dyDescent="0.25">
      <c r="A57" t="s">
        <v>59</v>
      </c>
      <c r="I57" t="s">
        <v>210</v>
      </c>
      <c r="M57" t="s">
        <v>211</v>
      </c>
    </row>
    <row r="58" spans="1:13" x14ac:dyDescent="0.25">
      <c r="A58" t="s">
        <v>212</v>
      </c>
      <c r="I58" t="s">
        <v>213</v>
      </c>
      <c r="M58" t="s">
        <v>209</v>
      </c>
    </row>
    <row r="59" spans="1:13" x14ac:dyDescent="0.25">
      <c r="A59" t="s">
        <v>16</v>
      </c>
      <c r="I59" t="s">
        <v>16</v>
      </c>
      <c r="M59" t="s">
        <v>22</v>
      </c>
    </row>
    <row r="60" spans="1:13" x14ac:dyDescent="0.25">
      <c r="A60" t="s">
        <v>214</v>
      </c>
      <c r="I60" t="s">
        <v>20</v>
      </c>
    </row>
    <row r="61" spans="1:13" x14ac:dyDescent="0.25">
      <c r="A61" t="s">
        <v>215</v>
      </c>
      <c r="I61" t="s">
        <v>216</v>
      </c>
    </row>
    <row r="63" spans="1:13" x14ac:dyDescent="0.25">
      <c r="A63" s="3" t="s">
        <v>217</v>
      </c>
      <c r="I63" s="3" t="s">
        <v>93</v>
      </c>
    </row>
    <row r="64" spans="1:13" x14ac:dyDescent="0.25">
      <c r="A64" t="s">
        <v>218</v>
      </c>
      <c r="I64" s="11" t="s">
        <v>219</v>
      </c>
    </row>
    <row r="65" spans="1:9" x14ac:dyDescent="0.25">
      <c r="A65" t="s">
        <v>63</v>
      </c>
      <c r="I65" s="11" t="s">
        <v>220</v>
      </c>
    </row>
    <row r="66" spans="1:9" x14ac:dyDescent="0.25">
      <c r="A66" t="s">
        <v>16</v>
      </c>
      <c r="I66" t="s">
        <v>24</v>
      </c>
    </row>
    <row r="67" spans="1:9" x14ac:dyDescent="0.25">
      <c r="A67" t="s">
        <v>221</v>
      </c>
      <c r="I67" s="11" t="s">
        <v>577</v>
      </c>
    </row>
    <row r="68" spans="1:9" x14ac:dyDescent="0.25">
      <c r="A68" t="s">
        <v>222</v>
      </c>
      <c r="I68" s="11" t="s">
        <v>580</v>
      </c>
    </row>
    <row r="70" spans="1:9" x14ac:dyDescent="0.25">
      <c r="A70" s="3" t="s">
        <v>223</v>
      </c>
      <c r="I70" s="3" t="s">
        <v>94</v>
      </c>
    </row>
    <row r="71" spans="1:9" x14ac:dyDescent="0.25">
      <c r="A71" t="s">
        <v>224</v>
      </c>
      <c r="I71" t="s">
        <v>225</v>
      </c>
    </row>
    <row r="72" spans="1:9" x14ac:dyDescent="0.25">
      <c r="A72" t="s">
        <v>226</v>
      </c>
      <c r="I72" t="s">
        <v>227</v>
      </c>
    </row>
    <row r="73" spans="1:9" x14ac:dyDescent="0.25">
      <c r="A73" t="s">
        <v>16</v>
      </c>
      <c r="I73" t="s">
        <v>16</v>
      </c>
    </row>
    <row r="74" spans="1:9" x14ac:dyDescent="0.25">
      <c r="A74" t="s">
        <v>228</v>
      </c>
      <c r="I74" t="s">
        <v>229</v>
      </c>
    </row>
    <row r="75" spans="1:9" x14ac:dyDescent="0.25">
      <c r="A75" t="s">
        <v>230</v>
      </c>
      <c r="I75" t="s">
        <v>231</v>
      </c>
    </row>
    <row r="77" spans="1:9" x14ac:dyDescent="0.25">
      <c r="A77" s="3" t="s">
        <v>111</v>
      </c>
    </row>
    <row r="78" spans="1:9" x14ac:dyDescent="0.25">
      <c r="A78" t="s">
        <v>232</v>
      </c>
    </row>
    <row r="79" spans="1:9" x14ac:dyDescent="0.25">
      <c r="A79" t="s">
        <v>70</v>
      </c>
    </row>
    <row r="80" spans="1:9" x14ac:dyDescent="0.25">
      <c r="A80" t="s">
        <v>16</v>
      </c>
    </row>
    <row r="81" spans="1:1" x14ac:dyDescent="0.25">
      <c r="A81" t="s">
        <v>233</v>
      </c>
    </row>
    <row r="82" spans="1:1" x14ac:dyDescent="0.25">
      <c r="A82" t="s">
        <v>234</v>
      </c>
    </row>
    <row r="84" spans="1:1" x14ac:dyDescent="0.25">
      <c r="A84" s="3" t="s">
        <v>128</v>
      </c>
    </row>
    <row r="85" spans="1:1" x14ac:dyDescent="0.25">
      <c r="A85" t="s">
        <v>235</v>
      </c>
    </row>
    <row r="86" spans="1:1" x14ac:dyDescent="0.25">
      <c r="A86" t="s">
        <v>75</v>
      </c>
    </row>
    <row r="87" spans="1:1" x14ac:dyDescent="0.25">
      <c r="A87" t="s">
        <v>16</v>
      </c>
    </row>
    <row r="88" spans="1:1" x14ac:dyDescent="0.25">
      <c r="A88" t="s">
        <v>236</v>
      </c>
    </row>
    <row r="89" spans="1:1" x14ac:dyDescent="0.25">
      <c r="A89" t="s">
        <v>237</v>
      </c>
    </row>
  </sheetData>
  <mergeCells count="2">
    <mergeCell ref="A13:B13"/>
    <mergeCell ref="I13:O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92017bf-60c6-49d6-b7b7-6637bcebcd11" xsi:nil="true"/>
    <lcf76f155ced4ddcb4097134ff3c332f xmlns="d0d7275a-9a79-4cc1-a803-b52bc12d23e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BE5A3BBE43714E9BBE6CD13CC0DF4E" ma:contentTypeVersion="15" ma:contentTypeDescription="Create a new document." ma:contentTypeScope="" ma:versionID="db4f097c43f337e2ccd630d8643274cd">
  <xsd:schema xmlns:xsd="http://www.w3.org/2001/XMLSchema" xmlns:xs="http://www.w3.org/2001/XMLSchema" xmlns:p="http://schemas.microsoft.com/office/2006/metadata/properties" xmlns:ns2="d0d7275a-9a79-4cc1-a803-b52bc12d23ed" xmlns:ns3="a92017bf-60c6-49d6-b7b7-6637bcebcd11" targetNamespace="http://schemas.microsoft.com/office/2006/metadata/properties" ma:root="true" ma:fieldsID="f7ff97130190abb8e5cb12b0f87982a0" ns2:_="" ns3:_="">
    <xsd:import namespace="d0d7275a-9a79-4cc1-a803-b52bc12d23ed"/>
    <xsd:import namespace="a92017bf-60c6-49d6-b7b7-6637bcebcd1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d7275a-9a79-4cc1-a803-b52bc12d23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e58ede6-7bd0-439e-ac30-7ca66db4a0f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2017bf-60c6-49d6-b7b7-6637bcebcd1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f0cfa05-5d0a-4ec1-a4f2-c5918d0f3e32}" ma:internalName="TaxCatchAll" ma:showField="CatchAllData" ma:web="a92017bf-60c6-49d6-b7b7-6637bcebcd11">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2FC16C-ABC5-451F-8A32-AAF94C360465}">
  <ds:schemaRefs>
    <ds:schemaRef ds:uri="http://schemas.microsoft.com/sharepoint/v3/contenttype/forms"/>
  </ds:schemaRefs>
</ds:datastoreItem>
</file>

<file path=customXml/itemProps2.xml><?xml version="1.0" encoding="utf-8"?>
<ds:datastoreItem xmlns:ds="http://schemas.openxmlformats.org/officeDocument/2006/customXml" ds:itemID="{4CC81DCD-F356-4B31-9EB2-8F48ACC67F08}">
  <ds:schemaRefs>
    <ds:schemaRef ds:uri="d0d7275a-9a79-4cc1-a803-b52bc12d23ed"/>
    <ds:schemaRef ds:uri="http://schemas.microsoft.com/office/infopath/2007/PartnerControls"/>
    <ds:schemaRef ds:uri="http://purl.org/dc/elements/1.1/"/>
    <ds:schemaRef ds:uri="http://schemas.microsoft.com/office/2006/metadata/properties"/>
    <ds:schemaRef ds:uri="a92017bf-60c6-49d6-b7b7-6637bcebcd11"/>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3.xml><?xml version="1.0" encoding="utf-8"?>
<ds:datastoreItem xmlns:ds="http://schemas.openxmlformats.org/officeDocument/2006/customXml" ds:itemID="{76ACF95C-FAF9-4202-85ED-843221CFE3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d7275a-9a79-4cc1-a803-b52bc12d23ed"/>
    <ds:schemaRef ds:uri="a92017bf-60c6-49d6-b7b7-6637bcebcd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INTRO</vt:lpstr>
      <vt:lpstr>Details</vt:lpstr>
      <vt:lpstr>CIA-Screening</vt:lpstr>
      <vt:lpstr>CIA-Environment</vt:lpstr>
      <vt:lpstr>CIA-Social</vt:lpstr>
      <vt:lpstr>Env Wheel</vt:lpstr>
      <vt:lpstr>Social Wheel</vt:lpstr>
      <vt:lpstr>FORMULAS</vt:lpstr>
      <vt:lpstr>Dashboard</vt:lpstr>
      <vt:lpstr>Summary Report</vt:lpstr>
      <vt:lpstr>Guidance</vt:lpstr>
      <vt:lpstr>Drop downs</vt:lpstr>
      <vt:lpstr>'CIA-Environment'!Print_Area</vt:lpstr>
      <vt:lpstr>'CIA-Social'!Print_Area</vt:lpstr>
      <vt:lpstr>'Summary Report'!Print_Area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Lily Paulson</dc:creator>
  <cp:keywords/>
  <dc:description/>
  <cp:lastModifiedBy>Atkins, Naomi (DEFA)</cp:lastModifiedBy>
  <cp:revision/>
  <cp:lastPrinted>2024-12-17T17:56:11Z</cp:lastPrinted>
  <dcterms:created xsi:type="dcterms:W3CDTF">2021-11-24T10:59:50Z</dcterms:created>
  <dcterms:modified xsi:type="dcterms:W3CDTF">2025-04-15T14:21:26Z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0x01010066BE5A3BBE43714E9BBE6CD13CC0DF4E</vt:lpwstr>
  </property>
  <property fmtid="{D5CDD505-2E9C-101B-9397-08002B2CF9AE}" pid="3" name="MediaServiceImageTags">
    <vt:lpwstr/>
  </property>
</Properties>
</file>